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46c7b0f9e40d12/Desktop/DataAnalysis/Assignments/Data Analysis using Excel - Student Performance - Assignment 2/"/>
    </mc:Choice>
  </mc:AlternateContent>
  <xr:revisionPtr revIDLastSave="233" documentId="8_{7505F4E0-1464-43FE-AB3B-85F499DCA21F}" xr6:coauthVersionLast="47" xr6:coauthVersionMax="47" xr10:uidLastSave="{A5D71F18-65DF-45DB-A52D-295BC97FB36E}"/>
  <bookViews>
    <workbookView xWindow="-108" yWindow="-108" windowWidth="23256" windowHeight="12456" activeTab="1" xr2:uid="{52FB468E-20A2-4A36-95AA-D678C373235F}"/>
  </bookViews>
  <sheets>
    <sheet name="Student" sheetId="2" r:id="rId1"/>
    <sheet name="Student_Analysis" sheetId="4" r:id="rId2"/>
  </sheets>
  <definedNames>
    <definedName name="StudentData">Table2[]</definedName>
  </definedNames>
  <calcPr calcId="191029"/>
  <pivotCaches>
    <pivotCache cacheId="3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</calcChain>
</file>

<file path=xl/sharedStrings.xml><?xml version="1.0" encoding="utf-8"?>
<sst xmlns="http://schemas.openxmlformats.org/spreadsheetml/2006/main" count="1704" uniqueCount="50">
  <si>
    <t>Count of Grade</t>
  </si>
  <si>
    <t>Column Labels</t>
  </si>
  <si>
    <t>Pass/Fail</t>
  </si>
  <si>
    <t>Gender</t>
  </si>
  <si>
    <t>AA</t>
  </si>
  <si>
    <t>BA</t>
  </si>
  <si>
    <t>BB</t>
  </si>
  <si>
    <t>CB</t>
  </si>
  <si>
    <t>CC</t>
  </si>
  <si>
    <t>DC</t>
  </si>
  <si>
    <t>DD</t>
  </si>
  <si>
    <t>Fail</t>
  </si>
  <si>
    <t>Grand Total</t>
  </si>
  <si>
    <t>Age</t>
  </si>
  <si>
    <t>Pass</t>
  </si>
  <si>
    <t>Female</t>
  </si>
  <si>
    <t>No</t>
  </si>
  <si>
    <t>Male</t>
  </si>
  <si>
    <t>Yes</t>
  </si>
  <si>
    <t>Attendance</t>
  </si>
  <si>
    <t>Always</t>
  </si>
  <si>
    <t>Never</t>
  </si>
  <si>
    <t>Sometimes</t>
  </si>
  <si>
    <t>Notes</t>
  </si>
  <si>
    <t>Reading</t>
  </si>
  <si>
    <t>Transportation</t>
  </si>
  <si>
    <t>Bus</t>
  </si>
  <si>
    <t>Private</t>
  </si>
  <si>
    <t>Id</t>
  </si>
  <si>
    <t>Student_Age</t>
  </si>
  <si>
    <t>Sex</t>
  </si>
  <si>
    <t>High_School_Type</t>
  </si>
  <si>
    <t>Scholarship</t>
  </si>
  <si>
    <t>Additional_Work</t>
  </si>
  <si>
    <t>Sports_activity</t>
  </si>
  <si>
    <t>Weekly_Study_Hours</t>
  </si>
  <si>
    <t>Listening_in_Class</t>
  </si>
  <si>
    <t>Project_work</t>
  </si>
  <si>
    <t>Grade</t>
  </si>
  <si>
    <t>Other</t>
  </si>
  <si>
    <t>State</t>
  </si>
  <si>
    <t>Remarks</t>
  </si>
  <si>
    <t>Grades</t>
  </si>
  <si>
    <t>Count of Remarks</t>
  </si>
  <si>
    <t>Additional Work</t>
  </si>
  <si>
    <t>Sports Activity</t>
  </si>
  <si>
    <t>ListeningInClass</t>
  </si>
  <si>
    <t>WeeklyStudyHours</t>
  </si>
  <si>
    <t xml:space="preserve">Insights/ Findings: </t>
  </si>
  <si>
    <t xml:space="preserve">1.Female achieved more pass percentage in high grades though, male has no failures.                                                                            2. Factors like no additional work, no sports activity and regular attendance shown a positive impact on the students performance.                                                                                         3. Factors like not reading, not taking notes,  involving in extra circular activities, inconsistent attendance, etc.,, are impacting negatively on the students performance.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</si>
</sst>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9" fontId="0" fillId="0" borderId="0" xfId="0" applyNumberForma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10" fontId="0" fillId="0" borderId="10" xfId="0" applyNumberFormat="1" applyBorder="1"/>
    <xf numFmtId="0" fontId="0" fillId="0" borderId="10" xfId="0" applyNumberFormat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4" borderId="14" xfId="0" applyFill="1" applyBorder="1" applyAlignment="1">
      <alignment vertical="top" wrapText="1"/>
    </xf>
    <xf numFmtId="0" fontId="0" fillId="34" borderId="0" xfId="0" applyFill="1" applyBorder="1" applyAlignment="1">
      <alignment vertical="top" wrapText="1"/>
    </xf>
    <xf numFmtId="0" fontId="0" fillId="34" borderId="15" xfId="0" applyFill="1" applyBorder="1" applyAlignment="1">
      <alignment vertical="top" wrapText="1"/>
    </xf>
    <xf numFmtId="0" fontId="0" fillId="34" borderId="16" xfId="0" applyFill="1" applyBorder="1" applyAlignment="1">
      <alignment vertical="top" wrapText="1"/>
    </xf>
    <xf numFmtId="0" fontId="0" fillId="34" borderId="17" xfId="0" applyFill="1" applyBorder="1" applyAlignment="1">
      <alignment vertical="top" wrapText="1"/>
    </xf>
    <xf numFmtId="0" fontId="0" fillId="34" borderId="18" xfId="0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[Student Analysis Using Excel and Pivots.xlsx]Student_Analysis!Percentage of Grade based on Gender</c:name>
    <c:fmtId val="13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Student_Analysis!$B$3:$B$4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5">
                <a:shade val="4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Student_Analysis!$A$5:$A$6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Student_Analysis!$B$5:$B$6</c:f>
              <c:numCache>
                <c:formatCode>0.00%</c:formatCode>
                <c:ptCount val="1"/>
                <c:pt idx="0">
                  <c:v>0.27586206896551724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B-4E8C-9484-54EA2AAA5BE9}"/>
            </c:ext>
          </c:extLst>
        </c:ser>
        <c:ser>
          <c:idx val="1"/>
          <c:order val="1"/>
          <c:tx>
            <c:strRef>
              <c:f>Student_Analysis!$C$3:$C$4</c:f>
              <c:strCache>
                <c:ptCount val="1"/>
                <c:pt idx="0">
                  <c:v>BA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Student_Analysis!$A$5:$A$6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Student_Analysis!$C$5:$C$6</c:f>
              <c:numCache>
                <c:formatCode>0.00%</c:formatCode>
                <c:ptCount val="1"/>
                <c:pt idx="0">
                  <c:v>0.20689655172413793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B-4E8C-9484-54EA2AAA5BE9}"/>
            </c:ext>
          </c:extLst>
        </c:ser>
        <c:ser>
          <c:idx val="2"/>
          <c:order val="2"/>
          <c:tx>
            <c:strRef>
              <c:f>Student_Analysis!$D$3:$D$4</c:f>
              <c:strCache>
                <c:ptCount val="1"/>
                <c:pt idx="0">
                  <c:v>BB</c:v>
                </c:pt>
              </c:strCache>
            </c:strRef>
          </c:tx>
          <c:spPr>
            <a:solidFill>
              <a:schemeClr val="accent5">
                <a:shade val="8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Student_Analysis!$A$5:$A$6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Student_Analysis!$D$5:$D$6</c:f>
              <c:numCache>
                <c:formatCode>0.00%</c:formatCode>
                <c:ptCount val="1"/>
                <c:pt idx="0">
                  <c:v>0.1206896551724138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CB-4E8C-9484-54EA2AAA5BE9}"/>
            </c:ext>
          </c:extLst>
        </c:ser>
        <c:ser>
          <c:idx val="3"/>
          <c:order val="3"/>
          <c:tx>
            <c:strRef>
              <c:f>Student_Analysis!$E$3:$E$4</c:f>
              <c:strCache>
                <c:ptCount val="1"/>
                <c:pt idx="0">
                  <c:v>CB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Student_Analysis!$A$5:$A$6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Student_Analysis!$E$5:$E$6</c:f>
              <c:numCache>
                <c:formatCode>0.00%</c:formatCode>
                <c:ptCount val="1"/>
                <c:pt idx="0">
                  <c:v>8.6206896551724144E-2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CB-4E8C-9484-54EA2AAA5BE9}"/>
            </c:ext>
          </c:extLst>
        </c:ser>
        <c:ser>
          <c:idx val="4"/>
          <c:order val="4"/>
          <c:tx>
            <c:strRef>
              <c:f>Student_Analysis!$F$3:$F$4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5">
                <a:tint val="8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Student_Analysis!$A$5:$A$6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Student_Analysis!$F$5:$F$6</c:f>
              <c:numCache>
                <c:formatCode>0.00%</c:formatCode>
                <c:ptCount val="1"/>
                <c:pt idx="0">
                  <c:v>0.10344827586206896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CB-4E8C-9484-54EA2AAA5BE9}"/>
            </c:ext>
          </c:extLst>
        </c:ser>
        <c:ser>
          <c:idx val="5"/>
          <c:order val="5"/>
          <c:tx>
            <c:strRef>
              <c:f>Student_Analysis!$G$3:$G$4</c:f>
              <c:strCache>
                <c:ptCount val="1"/>
                <c:pt idx="0">
                  <c:v>DC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Student_Analysis!$A$5:$A$6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Student_Analysis!$G$5:$G$6</c:f>
              <c:numCache>
                <c:formatCode>0.00%</c:formatCode>
                <c:ptCount val="1"/>
                <c:pt idx="0">
                  <c:v>6.8965517241379309E-2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CB-4E8C-9484-54EA2AAA5BE9}"/>
            </c:ext>
          </c:extLst>
        </c:ser>
        <c:ser>
          <c:idx val="6"/>
          <c:order val="6"/>
          <c:tx>
            <c:strRef>
              <c:f>Student_Analysis!$H$3:$H$4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5">
                <a:tint val="4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Student_Analysis!$A$5:$A$6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Student_Analysis!$H$5:$H$6</c:f>
              <c:numCache>
                <c:formatCode>0.00%</c:formatCode>
                <c:ptCount val="1"/>
                <c:pt idx="0">
                  <c:v>0.13793103448275862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CB-4E8C-9484-54EA2AAA5B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3618704"/>
        <c:axId val="1253625904"/>
      </c:barChart>
      <c:catAx>
        <c:axId val="125361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25904"/>
        <c:crosses val="autoZero"/>
        <c:auto val="1"/>
        <c:lblAlgn val="ctr"/>
        <c:lblOffset val="100"/>
        <c:noMultiLvlLbl val="0"/>
      </c:catAx>
      <c:valAx>
        <c:axId val="125362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1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845820</xdr:colOff>
      <xdr:row>22</xdr:row>
      <xdr:rowOff>133350</xdr:rowOff>
    </xdr:from>
    <xdr:to>
      <xdr:col>9</xdr:col>
      <xdr:colOff>22860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ED1B8-7184-5729-572B-6C49306F6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 r" refreshedDate="45970.959541666663" createdVersion="8" refreshedVersion="8" minRefreshableVersion="3" recordCount="145" xr:uid="{ABA0CBC6-34A2-43AC-BF74-D94DB2BCBD79}">
  <cacheSource type="worksheet">
    <worksheetSource name="Table2"/>
  </cacheSource>
  <cacheFields count="16">
    <cacheField name="Id" numFmtId="0">
      <sharedItems containsSemiMixedTypes="0" containsString="0" containsNumber="1" containsInteger="1" minValue="5001" maxValue="5145"/>
    </cacheField>
    <cacheField name="Student_Age" numFmtId="0">
      <sharedItems containsSemiMixedTypes="0" containsString="0" containsNumber="1" containsInteger="1" minValue="18" maxValue="26" count="9">
        <n v="21"/>
        <n v="20"/>
        <n v="18"/>
        <n v="22"/>
        <n v="19"/>
        <n v="26"/>
        <n v="25"/>
        <n v="24"/>
        <n v="23"/>
      </sharedItems>
    </cacheField>
    <cacheField name="Sex" numFmtId="0">
      <sharedItems count="2">
        <s v="Male"/>
        <s v="Female"/>
      </sharedItems>
    </cacheField>
    <cacheField name="High_School_Type" numFmtId="0">
      <sharedItems/>
    </cacheField>
    <cacheField name="Scholarship" numFmtId="0">
      <sharedItems containsMixedTypes="1" containsNumber="1" minValue="0.25" maxValue="1"/>
    </cacheField>
    <cacheField name="Additional_Work" numFmtId="0">
      <sharedItems count="2">
        <s v="Yes"/>
        <s v="No"/>
      </sharedItems>
    </cacheField>
    <cacheField name="Sports_activity" numFmtId="0">
      <sharedItems count="2">
        <s v="No"/>
        <s v="Yes"/>
      </sharedItems>
    </cacheField>
    <cacheField name="Transportation" numFmtId="0">
      <sharedItems count="2">
        <s v="Private"/>
        <s v="Bus"/>
      </sharedItems>
    </cacheField>
    <cacheField name="Weekly_Study_Hours" numFmtId="0">
      <sharedItems containsSemiMixedTypes="0" containsString="0" containsNumber="1" containsInteger="1" minValue="0" maxValue="12" count="4">
        <n v="0"/>
        <n v="2"/>
        <n v="12"/>
        <n v="8"/>
      </sharedItems>
    </cacheField>
    <cacheField name="Attendance" numFmtId="0">
      <sharedItems containsMixedTypes="1" containsNumber="1" containsInteger="1" minValue="3" maxValue="3" count="4">
        <s v="Always"/>
        <s v="Never"/>
        <s v="Sometimes"/>
        <n v="3" u="1"/>
      </sharedItems>
    </cacheField>
    <cacheField name="Reading" numFmtId="0">
      <sharedItems count="2">
        <s v="Yes"/>
        <s v="No"/>
      </sharedItems>
    </cacheField>
    <cacheField name="Notes" numFmtId="0">
      <sharedItems containsMixedTypes="1" containsNumber="1" containsInteger="1" minValue="6" maxValue="6" count="3">
        <s v="Yes"/>
        <s v="No"/>
        <n v="6" u="1"/>
      </sharedItems>
    </cacheField>
    <cacheField name="Listening_in_Class" numFmtId="0">
      <sharedItems containsMixedTypes="1" containsNumber="1" containsInteger="1" minValue="6" maxValue="6" count="3">
        <s v="No"/>
        <s v="Yes"/>
        <n v="6" u="1"/>
      </sharedItems>
    </cacheField>
    <cacheField name="Project_work" numFmtId="0">
      <sharedItems/>
    </cacheField>
    <cacheField name="Grade" numFmtId="0">
      <sharedItems count="8">
        <s v="AA"/>
        <s v="BA"/>
        <s v="CC"/>
        <s v="Fail"/>
        <s v="BB"/>
        <s v="CB"/>
        <s v="DD"/>
        <s v="DC"/>
      </sharedItems>
    </cacheField>
    <cacheField name="Remarks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n v="5001"/>
    <x v="0"/>
    <x v="0"/>
    <s v="Other"/>
    <n v="0.5"/>
    <x v="0"/>
    <x v="0"/>
    <x v="0"/>
    <x v="0"/>
    <x v="0"/>
    <x v="0"/>
    <x v="0"/>
    <x v="0"/>
    <s v="No"/>
    <x v="0"/>
    <x v="0"/>
  </r>
  <r>
    <n v="5002"/>
    <x v="1"/>
    <x v="0"/>
    <s v="Other"/>
    <n v="0.5"/>
    <x v="0"/>
    <x v="0"/>
    <x v="0"/>
    <x v="0"/>
    <x v="0"/>
    <x v="0"/>
    <x v="1"/>
    <x v="1"/>
    <s v="Yes"/>
    <x v="0"/>
    <x v="0"/>
  </r>
  <r>
    <n v="5003"/>
    <x v="0"/>
    <x v="0"/>
    <s v="State"/>
    <n v="0.5"/>
    <x v="1"/>
    <x v="0"/>
    <x v="0"/>
    <x v="1"/>
    <x v="1"/>
    <x v="1"/>
    <x v="1"/>
    <x v="0"/>
    <s v="Yes"/>
    <x v="0"/>
    <x v="0"/>
  </r>
  <r>
    <n v="5004"/>
    <x v="2"/>
    <x v="1"/>
    <s v="Private"/>
    <n v="0.5"/>
    <x v="0"/>
    <x v="0"/>
    <x v="1"/>
    <x v="1"/>
    <x v="0"/>
    <x v="1"/>
    <x v="0"/>
    <x v="0"/>
    <s v="No"/>
    <x v="0"/>
    <x v="0"/>
  </r>
  <r>
    <n v="5005"/>
    <x v="3"/>
    <x v="0"/>
    <s v="Private"/>
    <n v="0.5"/>
    <x v="1"/>
    <x v="0"/>
    <x v="1"/>
    <x v="2"/>
    <x v="0"/>
    <x v="0"/>
    <x v="1"/>
    <x v="1"/>
    <s v="Yes"/>
    <x v="0"/>
    <x v="0"/>
  </r>
  <r>
    <n v="5006"/>
    <x v="1"/>
    <x v="0"/>
    <s v="State"/>
    <n v="0.5"/>
    <x v="1"/>
    <x v="0"/>
    <x v="0"/>
    <x v="1"/>
    <x v="0"/>
    <x v="0"/>
    <x v="1"/>
    <x v="1"/>
    <s v="Yes"/>
    <x v="1"/>
    <x v="0"/>
  </r>
  <r>
    <n v="5007"/>
    <x v="2"/>
    <x v="0"/>
    <s v="State"/>
    <n v="0.75"/>
    <x v="1"/>
    <x v="0"/>
    <x v="0"/>
    <x v="0"/>
    <x v="0"/>
    <x v="1"/>
    <x v="0"/>
    <x v="1"/>
    <s v="Yes"/>
    <x v="2"/>
    <x v="0"/>
  </r>
  <r>
    <n v="5008"/>
    <x v="2"/>
    <x v="1"/>
    <s v="State"/>
    <n v="0.5"/>
    <x v="0"/>
    <x v="1"/>
    <x v="1"/>
    <x v="1"/>
    <x v="2"/>
    <x v="1"/>
    <x v="0"/>
    <x v="1"/>
    <s v="Yes"/>
    <x v="1"/>
    <x v="0"/>
  </r>
  <r>
    <n v="5009"/>
    <x v="4"/>
    <x v="1"/>
    <s v="Other"/>
    <n v="0.5"/>
    <x v="1"/>
    <x v="1"/>
    <x v="1"/>
    <x v="0"/>
    <x v="0"/>
    <x v="1"/>
    <x v="1"/>
    <x v="0"/>
    <s v="Yes"/>
    <x v="2"/>
    <x v="0"/>
  </r>
  <r>
    <n v="5010"/>
    <x v="0"/>
    <x v="1"/>
    <s v="State"/>
    <n v="0.5"/>
    <x v="1"/>
    <x v="0"/>
    <x v="1"/>
    <x v="2"/>
    <x v="1"/>
    <x v="1"/>
    <x v="0"/>
    <x v="0"/>
    <s v="No"/>
    <x v="3"/>
    <x v="1"/>
  </r>
  <r>
    <n v="5011"/>
    <x v="2"/>
    <x v="1"/>
    <s v="Private"/>
    <n v="0.5"/>
    <x v="1"/>
    <x v="0"/>
    <x v="0"/>
    <x v="2"/>
    <x v="2"/>
    <x v="1"/>
    <x v="1"/>
    <x v="0"/>
    <s v="Yes"/>
    <x v="1"/>
    <x v="0"/>
  </r>
  <r>
    <n v="5012"/>
    <x v="2"/>
    <x v="1"/>
    <s v="Private"/>
    <n v="0.75"/>
    <x v="0"/>
    <x v="1"/>
    <x v="0"/>
    <x v="3"/>
    <x v="2"/>
    <x v="1"/>
    <x v="0"/>
    <x v="0"/>
    <s v="Yes"/>
    <x v="3"/>
    <x v="1"/>
  </r>
  <r>
    <n v="5013"/>
    <x v="2"/>
    <x v="1"/>
    <s v="Private"/>
    <n v="0.75"/>
    <x v="1"/>
    <x v="0"/>
    <x v="0"/>
    <x v="0"/>
    <x v="0"/>
    <x v="0"/>
    <x v="1"/>
    <x v="0"/>
    <s v="No"/>
    <x v="3"/>
    <x v="1"/>
  </r>
  <r>
    <n v="5014"/>
    <x v="4"/>
    <x v="1"/>
    <s v="State"/>
    <n v="1"/>
    <x v="1"/>
    <x v="0"/>
    <x v="0"/>
    <x v="0"/>
    <x v="0"/>
    <x v="0"/>
    <x v="1"/>
    <x v="0"/>
    <s v="Yes"/>
    <x v="0"/>
    <x v="0"/>
  </r>
  <r>
    <n v="5015"/>
    <x v="5"/>
    <x v="0"/>
    <s v="State"/>
    <n v="0.75"/>
    <x v="0"/>
    <x v="1"/>
    <x v="0"/>
    <x v="2"/>
    <x v="1"/>
    <x v="1"/>
    <x v="1"/>
    <x v="1"/>
    <s v="Yes"/>
    <x v="1"/>
    <x v="0"/>
  </r>
  <r>
    <n v="5016"/>
    <x v="3"/>
    <x v="0"/>
    <s v="State"/>
    <n v="0.5"/>
    <x v="1"/>
    <x v="0"/>
    <x v="0"/>
    <x v="0"/>
    <x v="0"/>
    <x v="1"/>
    <x v="0"/>
    <x v="0"/>
    <s v="Yes"/>
    <x v="1"/>
    <x v="0"/>
  </r>
  <r>
    <n v="5017"/>
    <x v="2"/>
    <x v="1"/>
    <s v="State"/>
    <n v="1"/>
    <x v="1"/>
    <x v="1"/>
    <x v="0"/>
    <x v="0"/>
    <x v="0"/>
    <x v="0"/>
    <x v="1"/>
    <x v="0"/>
    <s v="No"/>
    <x v="0"/>
    <x v="0"/>
  </r>
  <r>
    <n v="5018"/>
    <x v="3"/>
    <x v="0"/>
    <s v="State"/>
    <n v="0.5"/>
    <x v="1"/>
    <x v="0"/>
    <x v="0"/>
    <x v="0"/>
    <x v="0"/>
    <x v="0"/>
    <x v="1"/>
    <x v="0"/>
    <s v="Yes"/>
    <x v="1"/>
    <x v="0"/>
  </r>
  <r>
    <n v="5019"/>
    <x v="2"/>
    <x v="1"/>
    <s v="State"/>
    <n v="0.75"/>
    <x v="1"/>
    <x v="0"/>
    <x v="0"/>
    <x v="2"/>
    <x v="0"/>
    <x v="0"/>
    <x v="1"/>
    <x v="0"/>
    <s v="No"/>
    <x v="1"/>
    <x v="0"/>
  </r>
  <r>
    <n v="5020"/>
    <x v="2"/>
    <x v="0"/>
    <s v="Private"/>
    <n v="0.5"/>
    <x v="1"/>
    <x v="0"/>
    <x v="1"/>
    <x v="1"/>
    <x v="2"/>
    <x v="1"/>
    <x v="1"/>
    <x v="1"/>
    <s v="No"/>
    <x v="4"/>
    <x v="0"/>
  </r>
  <r>
    <n v="5021"/>
    <x v="2"/>
    <x v="0"/>
    <s v="State"/>
    <n v="1"/>
    <x v="0"/>
    <x v="0"/>
    <x v="1"/>
    <x v="0"/>
    <x v="1"/>
    <x v="1"/>
    <x v="1"/>
    <x v="1"/>
    <s v="No"/>
    <x v="0"/>
    <x v="0"/>
  </r>
  <r>
    <n v="5022"/>
    <x v="2"/>
    <x v="0"/>
    <s v="State"/>
    <n v="1"/>
    <x v="1"/>
    <x v="0"/>
    <x v="1"/>
    <x v="0"/>
    <x v="1"/>
    <x v="1"/>
    <x v="1"/>
    <x v="0"/>
    <s v="No"/>
    <x v="0"/>
    <x v="0"/>
  </r>
  <r>
    <n v="5023"/>
    <x v="3"/>
    <x v="0"/>
    <s v="State"/>
    <n v="0.5"/>
    <x v="0"/>
    <x v="0"/>
    <x v="1"/>
    <x v="0"/>
    <x v="0"/>
    <x v="0"/>
    <x v="0"/>
    <x v="1"/>
    <s v="No"/>
    <x v="4"/>
    <x v="0"/>
  </r>
  <r>
    <n v="5024"/>
    <x v="6"/>
    <x v="0"/>
    <s v="State"/>
    <n v="0.25"/>
    <x v="0"/>
    <x v="1"/>
    <x v="0"/>
    <x v="2"/>
    <x v="0"/>
    <x v="0"/>
    <x v="0"/>
    <x v="0"/>
    <s v="No"/>
    <x v="0"/>
    <x v="0"/>
  </r>
  <r>
    <n v="5025"/>
    <x v="4"/>
    <x v="0"/>
    <s v="State"/>
    <n v="0.5"/>
    <x v="1"/>
    <x v="0"/>
    <x v="0"/>
    <x v="1"/>
    <x v="0"/>
    <x v="0"/>
    <x v="1"/>
    <x v="1"/>
    <s v="No"/>
    <x v="1"/>
    <x v="0"/>
  </r>
  <r>
    <n v="5026"/>
    <x v="1"/>
    <x v="0"/>
    <s v="State"/>
    <n v="0.5"/>
    <x v="1"/>
    <x v="0"/>
    <x v="1"/>
    <x v="0"/>
    <x v="0"/>
    <x v="1"/>
    <x v="0"/>
    <x v="0"/>
    <s v="No"/>
    <x v="4"/>
    <x v="0"/>
  </r>
  <r>
    <n v="5027"/>
    <x v="1"/>
    <x v="0"/>
    <s v="State"/>
    <n v="0.5"/>
    <x v="1"/>
    <x v="1"/>
    <x v="1"/>
    <x v="0"/>
    <x v="0"/>
    <x v="0"/>
    <x v="0"/>
    <x v="0"/>
    <s v="No"/>
    <x v="0"/>
    <x v="0"/>
  </r>
  <r>
    <n v="5028"/>
    <x v="2"/>
    <x v="0"/>
    <s v="Private"/>
    <n v="0.5"/>
    <x v="0"/>
    <x v="0"/>
    <x v="0"/>
    <x v="0"/>
    <x v="0"/>
    <x v="0"/>
    <x v="0"/>
    <x v="1"/>
    <s v="No"/>
    <x v="0"/>
    <x v="0"/>
  </r>
  <r>
    <n v="5029"/>
    <x v="7"/>
    <x v="0"/>
    <s v="State"/>
    <n v="0.5"/>
    <x v="1"/>
    <x v="0"/>
    <x v="1"/>
    <x v="0"/>
    <x v="1"/>
    <x v="1"/>
    <x v="1"/>
    <x v="0"/>
    <s v="No"/>
    <x v="4"/>
    <x v="0"/>
  </r>
  <r>
    <n v="5030"/>
    <x v="4"/>
    <x v="0"/>
    <s v="Other"/>
    <n v="0.75"/>
    <x v="1"/>
    <x v="0"/>
    <x v="0"/>
    <x v="0"/>
    <x v="1"/>
    <x v="1"/>
    <x v="1"/>
    <x v="1"/>
    <s v="Yes"/>
    <x v="2"/>
    <x v="0"/>
  </r>
  <r>
    <n v="5031"/>
    <x v="4"/>
    <x v="0"/>
    <s v="State"/>
    <n v="1"/>
    <x v="0"/>
    <x v="1"/>
    <x v="1"/>
    <x v="0"/>
    <x v="0"/>
    <x v="1"/>
    <x v="0"/>
    <x v="1"/>
    <s v="No"/>
    <x v="2"/>
    <x v="0"/>
  </r>
  <r>
    <n v="5032"/>
    <x v="6"/>
    <x v="0"/>
    <s v="State"/>
    <n v="0.5"/>
    <x v="0"/>
    <x v="0"/>
    <x v="0"/>
    <x v="0"/>
    <x v="0"/>
    <x v="1"/>
    <x v="0"/>
    <x v="0"/>
    <s v="No"/>
    <x v="4"/>
    <x v="0"/>
  </r>
  <r>
    <n v="5033"/>
    <x v="4"/>
    <x v="1"/>
    <s v="State"/>
    <n v="0.5"/>
    <x v="1"/>
    <x v="0"/>
    <x v="0"/>
    <x v="1"/>
    <x v="0"/>
    <x v="0"/>
    <x v="1"/>
    <x v="0"/>
    <s v="Yes"/>
    <x v="0"/>
    <x v="0"/>
  </r>
  <r>
    <n v="5034"/>
    <x v="0"/>
    <x v="1"/>
    <s v="State"/>
    <n v="0.5"/>
    <x v="0"/>
    <x v="0"/>
    <x v="1"/>
    <x v="0"/>
    <x v="0"/>
    <x v="0"/>
    <x v="0"/>
    <x v="0"/>
    <s v="No"/>
    <x v="1"/>
    <x v="0"/>
  </r>
  <r>
    <n v="5035"/>
    <x v="2"/>
    <x v="0"/>
    <s v="Private"/>
    <n v="0.5"/>
    <x v="1"/>
    <x v="0"/>
    <x v="1"/>
    <x v="1"/>
    <x v="0"/>
    <x v="0"/>
    <x v="1"/>
    <x v="1"/>
    <s v="No"/>
    <x v="1"/>
    <x v="0"/>
  </r>
  <r>
    <n v="5036"/>
    <x v="2"/>
    <x v="0"/>
    <s v="Private"/>
    <n v="0.75"/>
    <x v="1"/>
    <x v="0"/>
    <x v="0"/>
    <x v="2"/>
    <x v="0"/>
    <x v="0"/>
    <x v="0"/>
    <x v="0"/>
    <s v="No"/>
    <x v="0"/>
    <x v="0"/>
  </r>
  <r>
    <n v="5037"/>
    <x v="4"/>
    <x v="0"/>
    <s v="Other"/>
    <n v="0.75"/>
    <x v="0"/>
    <x v="0"/>
    <x v="1"/>
    <x v="2"/>
    <x v="0"/>
    <x v="0"/>
    <x v="0"/>
    <x v="1"/>
    <s v="Yes"/>
    <x v="1"/>
    <x v="0"/>
  </r>
  <r>
    <n v="5038"/>
    <x v="1"/>
    <x v="0"/>
    <s v="State"/>
    <n v="0.5"/>
    <x v="0"/>
    <x v="1"/>
    <x v="1"/>
    <x v="1"/>
    <x v="2"/>
    <x v="1"/>
    <x v="1"/>
    <x v="1"/>
    <s v="Yes"/>
    <x v="0"/>
    <x v="0"/>
  </r>
  <r>
    <n v="5039"/>
    <x v="0"/>
    <x v="0"/>
    <s v="State"/>
    <n v="1"/>
    <x v="1"/>
    <x v="0"/>
    <x v="0"/>
    <x v="0"/>
    <x v="0"/>
    <x v="0"/>
    <x v="1"/>
    <x v="1"/>
    <s v="Yes"/>
    <x v="1"/>
    <x v="0"/>
  </r>
  <r>
    <n v="5040"/>
    <x v="3"/>
    <x v="1"/>
    <s v="State"/>
    <n v="0.5"/>
    <x v="1"/>
    <x v="0"/>
    <x v="1"/>
    <x v="0"/>
    <x v="0"/>
    <x v="1"/>
    <x v="0"/>
    <x v="1"/>
    <s v="Yes"/>
    <x v="0"/>
    <x v="0"/>
  </r>
  <r>
    <n v="5041"/>
    <x v="2"/>
    <x v="0"/>
    <s v="Private"/>
    <n v="0.5"/>
    <x v="1"/>
    <x v="0"/>
    <x v="0"/>
    <x v="1"/>
    <x v="0"/>
    <x v="0"/>
    <x v="1"/>
    <x v="1"/>
    <s v="Yes"/>
    <x v="0"/>
    <x v="0"/>
  </r>
  <r>
    <n v="5042"/>
    <x v="7"/>
    <x v="0"/>
    <s v="State"/>
    <n v="0.5"/>
    <x v="0"/>
    <x v="0"/>
    <x v="0"/>
    <x v="1"/>
    <x v="0"/>
    <x v="1"/>
    <x v="0"/>
    <x v="0"/>
    <s v="Yes"/>
    <x v="0"/>
    <x v="0"/>
  </r>
  <r>
    <n v="5043"/>
    <x v="0"/>
    <x v="0"/>
    <s v="State"/>
    <n v="0.5"/>
    <x v="1"/>
    <x v="1"/>
    <x v="0"/>
    <x v="0"/>
    <x v="1"/>
    <x v="1"/>
    <x v="0"/>
    <x v="0"/>
    <s v="Yes"/>
    <x v="0"/>
    <x v="0"/>
  </r>
  <r>
    <n v="5044"/>
    <x v="2"/>
    <x v="0"/>
    <s v="State"/>
    <n v="0.5"/>
    <x v="1"/>
    <x v="0"/>
    <x v="1"/>
    <x v="0"/>
    <x v="0"/>
    <x v="0"/>
    <x v="1"/>
    <x v="1"/>
    <s v="No"/>
    <x v="5"/>
    <x v="0"/>
  </r>
  <r>
    <n v="5045"/>
    <x v="1"/>
    <x v="0"/>
    <s v="Other"/>
    <n v="0.5"/>
    <x v="1"/>
    <x v="0"/>
    <x v="1"/>
    <x v="0"/>
    <x v="0"/>
    <x v="0"/>
    <x v="0"/>
    <x v="1"/>
    <s v="Yes"/>
    <x v="0"/>
    <x v="0"/>
  </r>
  <r>
    <n v="5046"/>
    <x v="2"/>
    <x v="0"/>
    <s v="State"/>
    <n v="0.5"/>
    <x v="1"/>
    <x v="0"/>
    <x v="1"/>
    <x v="3"/>
    <x v="0"/>
    <x v="0"/>
    <x v="1"/>
    <x v="1"/>
    <s v="No"/>
    <x v="4"/>
    <x v="0"/>
  </r>
  <r>
    <n v="5047"/>
    <x v="4"/>
    <x v="0"/>
    <s v="State"/>
    <n v="0.5"/>
    <x v="1"/>
    <x v="0"/>
    <x v="1"/>
    <x v="0"/>
    <x v="0"/>
    <x v="0"/>
    <x v="0"/>
    <x v="0"/>
    <s v="No"/>
    <x v="2"/>
    <x v="0"/>
  </r>
  <r>
    <n v="5048"/>
    <x v="4"/>
    <x v="0"/>
    <s v="State"/>
    <n v="0.5"/>
    <x v="1"/>
    <x v="0"/>
    <x v="1"/>
    <x v="0"/>
    <x v="0"/>
    <x v="1"/>
    <x v="0"/>
    <x v="1"/>
    <s v="Yes"/>
    <x v="4"/>
    <x v="0"/>
  </r>
  <r>
    <n v="5049"/>
    <x v="2"/>
    <x v="0"/>
    <s v="State"/>
    <n v="0.5"/>
    <x v="1"/>
    <x v="1"/>
    <x v="1"/>
    <x v="0"/>
    <x v="0"/>
    <x v="1"/>
    <x v="1"/>
    <x v="1"/>
    <s v="No"/>
    <x v="0"/>
    <x v="0"/>
  </r>
  <r>
    <n v="5050"/>
    <x v="2"/>
    <x v="0"/>
    <s v="Private"/>
    <n v="0.75"/>
    <x v="1"/>
    <x v="0"/>
    <x v="0"/>
    <x v="1"/>
    <x v="1"/>
    <x v="0"/>
    <x v="1"/>
    <x v="1"/>
    <s v="Yes"/>
    <x v="1"/>
    <x v="0"/>
  </r>
  <r>
    <n v="5051"/>
    <x v="0"/>
    <x v="0"/>
    <s v="State"/>
    <n v="0.5"/>
    <x v="1"/>
    <x v="0"/>
    <x v="1"/>
    <x v="1"/>
    <x v="2"/>
    <x v="0"/>
    <x v="0"/>
    <x v="1"/>
    <s v="Yes"/>
    <x v="0"/>
    <x v="0"/>
  </r>
  <r>
    <n v="5052"/>
    <x v="4"/>
    <x v="1"/>
    <s v="Other"/>
    <n v="0.5"/>
    <x v="0"/>
    <x v="1"/>
    <x v="0"/>
    <x v="0"/>
    <x v="0"/>
    <x v="0"/>
    <x v="0"/>
    <x v="0"/>
    <s v="No"/>
    <x v="5"/>
    <x v="0"/>
  </r>
  <r>
    <n v="5053"/>
    <x v="3"/>
    <x v="1"/>
    <s v="State"/>
    <n v="0.5"/>
    <x v="0"/>
    <x v="0"/>
    <x v="0"/>
    <x v="1"/>
    <x v="0"/>
    <x v="0"/>
    <x v="0"/>
    <x v="1"/>
    <s v="No"/>
    <x v="0"/>
    <x v="0"/>
  </r>
  <r>
    <n v="5054"/>
    <x v="0"/>
    <x v="1"/>
    <s v="State"/>
    <n v="0.5"/>
    <x v="1"/>
    <x v="1"/>
    <x v="0"/>
    <x v="1"/>
    <x v="0"/>
    <x v="0"/>
    <x v="0"/>
    <x v="1"/>
    <s v="No"/>
    <x v="2"/>
    <x v="0"/>
  </r>
  <r>
    <n v="5055"/>
    <x v="0"/>
    <x v="0"/>
    <s v="State"/>
    <n v="0.5"/>
    <x v="1"/>
    <x v="0"/>
    <x v="0"/>
    <x v="2"/>
    <x v="1"/>
    <x v="1"/>
    <x v="0"/>
    <x v="0"/>
    <s v="Yes"/>
    <x v="4"/>
    <x v="0"/>
  </r>
  <r>
    <n v="5056"/>
    <x v="6"/>
    <x v="0"/>
    <s v="State"/>
    <n v="0.5"/>
    <x v="0"/>
    <x v="0"/>
    <x v="1"/>
    <x v="3"/>
    <x v="0"/>
    <x v="1"/>
    <x v="0"/>
    <x v="1"/>
    <s v="No"/>
    <x v="4"/>
    <x v="0"/>
  </r>
  <r>
    <n v="5057"/>
    <x v="1"/>
    <x v="0"/>
    <s v="State"/>
    <n v="0.5"/>
    <x v="1"/>
    <x v="1"/>
    <x v="0"/>
    <x v="0"/>
    <x v="0"/>
    <x v="0"/>
    <x v="0"/>
    <x v="1"/>
    <s v="No"/>
    <x v="2"/>
    <x v="0"/>
  </r>
  <r>
    <n v="5058"/>
    <x v="0"/>
    <x v="0"/>
    <s v="State"/>
    <n v="0.5"/>
    <x v="0"/>
    <x v="1"/>
    <x v="0"/>
    <x v="0"/>
    <x v="0"/>
    <x v="0"/>
    <x v="0"/>
    <x v="0"/>
    <s v="No"/>
    <x v="5"/>
    <x v="0"/>
  </r>
  <r>
    <n v="5059"/>
    <x v="8"/>
    <x v="0"/>
    <s v="State"/>
    <n v="0.5"/>
    <x v="1"/>
    <x v="0"/>
    <x v="1"/>
    <x v="2"/>
    <x v="0"/>
    <x v="0"/>
    <x v="0"/>
    <x v="1"/>
    <s v="No"/>
    <x v="4"/>
    <x v="0"/>
  </r>
  <r>
    <n v="5060"/>
    <x v="4"/>
    <x v="0"/>
    <s v="State"/>
    <n v="0.5"/>
    <x v="1"/>
    <x v="1"/>
    <x v="1"/>
    <x v="0"/>
    <x v="0"/>
    <x v="0"/>
    <x v="0"/>
    <x v="0"/>
    <s v="No"/>
    <x v="2"/>
    <x v="0"/>
  </r>
  <r>
    <n v="5061"/>
    <x v="4"/>
    <x v="1"/>
    <s v="State"/>
    <n v="0.5"/>
    <x v="1"/>
    <x v="0"/>
    <x v="0"/>
    <x v="2"/>
    <x v="2"/>
    <x v="0"/>
    <x v="0"/>
    <x v="1"/>
    <s v="No"/>
    <x v="1"/>
    <x v="0"/>
  </r>
  <r>
    <n v="5062"/>
    <x v="2"/>
    <x v="0"/>
    <s v="Other"/>
    <n v="0.5"/>
    <x v="1"/>
    <x v="1"/>
    <x v="0"/>
    <x v="1"/>
    <x v="0"/>
    <x v="1"/>
    <x v="0"/>
    <x v="1"/>
    <s v="No"/>
    <x v="2"/>
    <x v="0"/>
  </r>
  <r>
    <n v="5063"/>
    <x v="0"/>
    <x v="0"/>
    <s v="State"/>
    <n v="0.5"/>
    <x v="1"/>
    <x v="0"/>
    <x v="0"/>
    <x v="0"/>
    <x v="1"/>
    <x v="1"/>
    <x v="1"/>
    <x v="1"/>
    <s v="Yes"/>
    <x v="4"/>
    <x v="0"/>
  </r>
  <r>
    <n v="5064"/>
    <x v="3"/>
    <x v="0"/>
    <s v="State"/>
    <n v="0.75"/>
    <x v="1"/>
    <x v="0"/>
    <x v="1"/>
    <x v="1"/>
    <x v="0"/>
    <x v="0"/>
    <x v="0"/>
    <x v="1"/>
    <s v="No"/>
    <x v="2"/>
    <x v="0"/>
  </r>
  <r>
    <n v="5065"/>
    <x v="3"/>
    <x v="0"/>
    <s v="Other"/>
    <n v="1"/>
    <x v="1"/>
    <x v="0"/>
    <x v="0"/>
    <x v="0"/>
    <x v="0"/>
    <x v="0"/>
    <x v="1"/>
    <x v="0"/>
    <s v="Yes"/>
    <x v="4"/>
    <x v="0"/>
  </r>
  <r>
    <n v="5066"/>
    <x v="2"/>
    <x v="0"/>
    <s v="State"/>
    <n v="0.5"/>
    <x v="1"/>
    <x v="0"/>
    <x v="1"/>
    <x v="2"/>
    <x v="0"/>
    <x v="0"/>
    <x v="1"/>
    <x v="0"/>
    <s v="No"/>
    <x v="1"/>
    <x v="0"/>
  </r>
  <r>
    <n v="5067"/>
    <x v="3"/>
    <x v="0"/>
    <s v="State"/>
    <n v="0.5"/>
    <x v="1"/>
    <x v="0"/>
    <x v="1"/>
    <x v="0"/>
    <x v="0"/>
    <x v="0"/>
    <x v="1"/>
    <x v="0"/>
    <s v="No"/>
    <x v="2"/>
    <x v="0"/>
  </r>
  <r>
    <n v="5068"/>
    <x v="4"/>
    <x v="0"/>
    <s v="Other"/>
    <n v="0.5"/>
    <x v="0"/>
    <x v="1"/>
    <x v="0"/>
    <x v="2"/>
    <x v="0"/>
    <x v="1"/>
    <x v="1"/>
    <x v="0"/>
    <s v="No"/>
    <x v="0"/>
    <x v="0"/>
  </r>
  <r>
    <n v="5069"/>
    <x v="4"/>
    <x v="1"/>
    <s v="State"/>
    <n v="0.75"/>
    <x v="0"/>
    <x v="0"/>
    <x v="0"/>
    <x v="0"/>
    <x v="0"/>
    <x v="0"/>
    <x v="1"/>
    <x v="1"/>
    <s v="No"/>
    <x v="2"/>
    <x v="0"/>
  </r>
  <r>
    <n v="5070"/>
    <x v="0"/>
    <x v="1"/>
    <s v="State"/>
    <n v="0.75"/>
    <x v="1"/>
    <x v="0"/>
    <x v="1"/>
    <x v="0"/>
    <x v="0"/>
    <x v="0"/>
    <x v="1"/>
    <x v="0"/>
    <s v="Yes"/>
    <x v="2"/>
    <x v="0"/>
  </r>
  <r>
    <n v="5071"/>
    <x v="2"/>
    <x v="0"/>
    <s v="State"/>
    <n v="0.75"/>
    <x v="1"/>
    <x v="1"/>
    <x v="1"/>
    <x v="0"/>
    <x v="0"/>
    <x v="0"/>
    <x v="0"/>
    <x v="1"/>
    <s v="Yes"/>
    <x v="6"/>
    <x v="0"/>
  </r>
  <r>
    <n v="5072"/>
    <x v="2"/>
    <x v="1"/>
    <s v="Other"/>
    <n v="0.75"/>
    <x v="1"/>
    <x v="0"/>
    <x v="0"/>
    <x v="0"/>
    <x v="0"/>
    <x v="1"/>
    <x v="0"/>
    <x v="1"/>
    <s v="No"/>
    <x v="7"/>
    <x v="0"/>
  </r>
  <r>
    <n v="5073"/>
    <x v="2"/>
    <x v="0"/>
    <s v="State"/>
    <n v="0.5"/>
    <x v="1"/>
    <x v="1"/>
    <x v="1"/>
    <x v="0"/>
    <x v="0"/>
    <x v="1"/>
    <x v="0"/>
    <x v="1"/>
    <s v="Yes"/>
    <x v="7"/>
    <x v="0"/>
  </r>
  <r>
    <n v="5074"/>
    <x v="0"/>
    <x v="0"/>
    <s v="State"/>
    <n v="0.75"/>
    <x v="1"/>
    <x v="0"/>
    <x v="0"/>
    <x v="0"/>
    <x v="0"/>
    <x v="1"/>
    <x v="0"/>
    <x v="1"/>
    <s v="No"/>
    <x v="7"/>
    <x v="0"/>
  </r>
  <r>
    <n v="5075"/>
    <x v="2"/>
    <x v="0"/>
    <s v="State"/>
    <n v="0.75"/>
    <x v="1"/>
    <x v="0"/>
    <x v="0"/>
    <x v="0"/>
    <x v="0"/>
    <x v="0"/>
    <x v="1"/>
    <x v="0"/>
    <s v="No"/>
    <x v="6"/>
    <x v="0"/>
  </r>
  <r>
    <n v="5076"/>
    <x v="2"/>
    <x v="0"/>
    <s v="State"/>
    <n v="0.75"/>
    <x v="1"/>
    <x v="1"/>
    <x v="0"/>
    <x v="0"/>
    <x v="0"/>
    <x v="1"/>
    <x v="0"/>
    <x v="0"/>
    <s v="No"/>
    <x v="6"/>
    <x v="0"/>
  </r>
  <r>
    <n v="5077"/>
    <x v="1"/>
    <x v="0"/>
    <s v="Private"/>
    <n v="0.25"/>
    <x v="1"/>
    <x v="1"/>
    <x v="0"/>
    <x v="1"/>
    <x v="0"/>
    <x v="0"/>
    <x v="0"/>
    <x v="0"/>
    <s v="No"/>
    <x v="5"/>
    <x v="0"/>
  </r>
  <r>
    <n v="5078"/>
    <x v="2"/>
    <x v="0"/>
    <s v="Private"/>
    <n v="0.25"/>
    <x v="1"/>
    <x v="0"/>
    <x v="1"/>
    <x v="1"/>
    <x v="2"/>
    <x v="1"/>
    <x v="1"/>
    <x v="0"/>
    <s v="Yes"/>
    <x v="6"/>
    <x v="0"/>
  </r>
  <r>
    <n v="5079"/>
    <x v="4"/>
    <x v="1"/>
    <s v="State"/>
    <n v="0.75"/>
    <x v="0"/>
    <x v="1"/>
    <x v="0"/>
    <x v="0"/>
    <x v="0"/>
    <x v="0"/>
    <x v="0"/>
    <x v="1"/>
    <s v="No"/>
    <x v="5"/>
    <x v="0"/>
  </r>
  <r>
    <n v="5080"/>
    <x v="4"/>
    <x v="0"/>
    <s v="State"/>
    <n v="0.75"/>
    <x v="1"/>
    <x v="0"/>
    <x v="0"/>
    <x v="0"/>
    <x v="0"/>
    <x v="0"/>
    <x v="0"/>
    <x v="1"/>
    <s v="No"/>
    <x v="4"/>
    <x v="0"/>
  </r>
  <r>
    <n v="5081"/>
    <x v="1"/>
    <x v="1"/>
    <s v="State"/>
    <n v="0.5"/>
    <x v="0"/>
    <x v="0"/>
    <x v="1"/>
    <x v="0"/>
    <x v="2"/>
    <x v="0"/>
    <x v="0"/>
    <x v="1"/>
    <s v="Yes"/>
    <x v="5"/>
    <x v="0"/>
  </r>
  <r>
    <n v="5082"/>
    <x v="7"/>
    <x v="0"/>
    <s v="State"/>
    <n v="0.5"/>
    <x v="0"/>
    <x v="0"/>
    <x v="0"/>
    <x v="0"/>
    <x v="0"/>
    <x v="1"/>
    <x v="0"/>
    <x v="0"/>
    <s v="No"/>
    <x v="4"/>
    <x v="0"/>
  </r>
  <r>
    <n v="5083"/>
    <x v="1"/>
    <x v="0"/>
    <s v="State"/>
    <n v="0.75"/>
    <x v="0"/>
    <x v="0"/>
    <x v="1"/>
    <x v="1"/>
    <x v="0"/>
    <x v="0"/>
    <x v="1"/>
    <x v="1"/>
    <s v="No"/>
    <x v="6"/>
    <x v="0"/>
  </r>
  <r>
    <n v="5084"/>
    <x v="0"/>
    <x v="0"/>
    <s v="Other"/>
    <n v="0.5"/>
    <x v="1"/>
    <x v="0"/>
    <x v="0"/>
    <x v="2"/>
    <x v="0"/>
    <x v="0"/>
    <x v="0"/>
    <x v="0"/>
    <s v="Yes"/>
    <x v="6"/>
    <x v="0"/>
  </r>
  <r>
    <n v="5085"/>
    <x v="7"/>
    <x v="0"/>
    <s v="Other"/>
    <n v="0.5"/>
    <x v="0"/>
    <x v="0"/>
    <x v="1"/>
    <x v="2"/>
    <x v="0"/>
    <x v="1"/>
    <x v="0"/>
    <x v="0"/>
    <s v="No"/>
    <x v="6"/>
    <x v="0"/>
  </r>
  <r>
    <n v="5086"/>
    <x v="2"/>
    <x v="0"/>
    <s v="State"/>
    <n v="1"/>
    <x v="1"/>
    <x v="0"/>
    <x v="0"/>
    <x v="1"/>
    <x v="0"/>
    <x v="0"/>
    <x v="0"/>
    <x v="1"/>
    <s v="No"/>
    <x v="5"/>
    <x v="0"/>
  </r>
  <r>
    <n v="5087"/>
    <x v="0"/>
    <x v="0"/>
    <s v="State"/>
    <n v="0.75"/>
    <x v="1"/>
    <x v="0"/>
    <x v="0"/>
    <x v="0"/>
    <x v="1"/>
    <x v="1"/>
    <x v="1"/>
    <x v="1"/>
    <s v="Yes"/>
    <x v="2"/>
    <x v="0"/>
  </r>
  <r>
    <n v="5088"/>
    <x v="1"/>
    <x v="0"/>
    <s v="State"/>
    <n v="0.5"/>
    <x v="1"/>
    <x v="1"/>
    <x v="0"/>
    <x v="1"/>
    <x v="0"/>
    <x v="0"/>
    <x v="1"/>
    <x v="0"/>
    <s v="Yes"/>
    <x v="7"/>
    <x v="0"/>
  </r>
  <r>
    <n v="5089"/>
    <x v="2"/>
    <x v="0"/>
    <s v="State"/>
    <n v="0.75"/>
    <x v="1"/>
    <x v="1"/>
    <x v="1"/>
    <x v="0"/>
    <x v="0"/>
    <x v="0"/>
    <x v="0"/>
    <x v="0"/>
    <s v="Yes"/>
    <x v="7"/>
    <x v="0"/>
  </r>
  <r>
    <n v="5090"/>
    <x v="3"/>
    <x v="0"/>
    <s v="State"/>
    <n v="0.5"/>
    <x v="1"/>
    <x v="0"/>
    <x v="0"/>
    <x v="0"/>
    <x v="0"/>
    <x v="0"/>
    <x v="1"/>
    <x v="0"/>
    <s v="No"/>
    <x v="7"/>
    <x v="0"/>
  </r>
  <r>
    <n v="5091"/>
    <x v="3"/>
    <x v="1"/>
    <s v="State"/>
    <n v="0.5"/>
    <x v="1"/>
    <x v="1"/>
    <x v="1"/>
    <x v="0"/>
    <x v="2"/>
    <x v="1"/>
    <x v="1"/>
    <x v="1"/>
    <s v="Yes"/>
    <x v="7"/>
    <x v="0"/>
  </r>
  <r>
    <n v="5092"/>
    <x v="1"/>
    <x v="0"/>
    <s v="State"/>
    <n v="1"/>
    <x v="0"/>
    <x v="1"/>
    <x v="1"/>
    <x v="0"/>
    <x v="0"/>
    <x v="1"/>
    <x v="0"/>
    <x v="1"/>
    <s v="No"/>
    <x v="7"/>
    <x v="0"/>
  </r>
  <r>
    <n v="5093"/>
    <x v="2"/>
    <x v="0"/>
    <s v="State"/>
    <n v="0.5"/>
    <x v="1"/>
    <x v="0"/>
    <x v="0"/>
    <x v="0"/>
    <x v="0"/>
    <x v="0"/>
    <x v="1"/>
    <x v="0"/>
    <s v="No"/>
    <x v="6"/>
    <x v="0"/>
  </r>
  <r>
    <n v="5094"/>
    <x v="2"/>
    <x v="0"/>
    <s v="State"/>
    <s v="None"/>
    <x v="0"/>
    <x v="0"/>
    <x v="1"/>
    <x v="0"/>
    <x v="0"/>
    <x v="1"/>
    <x v="0"/>
    <x v="0"/>
    <s v="No"/>
    <x v="5"/>
    <x v="0"/>
  </r>
  <r>
    <n v="5095"/>
    <x v="1"/>
    <x v="0"/>
    <s v="State"/>
    <n v="0.5"/>
    <x v="1"/>
    <x v="0"/>
    <x v="1"/>
    <x v="0"/>
    <x v="0"/>
    <x v="0"/>
    <x v="1"/>
    <x v="0"/>
    <s v="No"/>
    <x v="7"/>
    <x v="0"/>
  </r>
  <r>
    <n v="5096"/>
    <x v="2"/>
    <x v="0"/>
    <s v="Other"/>
    <n v="1"/>
    <x v="0"/>
    <x v="1"/>
    <x v="1"/>
    <x v="0"/>
    <x v="2"/>
    <x v="1"/>
    <x v="1"/>
    <x v="0"/>
    <s v="Yes"/>
    <x v="2"/>
    <x v="0"/>
  </r>
  <r>
    <n v="5097"/>
    <x v="2"/>
    <x v="0"/>
    <s v="State"/>
    <n v="0.75"/>
    <x v="1"/>
    <x v="1"/>
    <x v="1"/>
    <x v="0"/>
    <x v="2"/>
    <x v="1"/>
    <x v="1"/>
    <x v="0"/>
    <s v="No"/>
    <x v="6"/>
    <x v="0"/>
  </r>
  <r>
    <n v="5098"/>
    <x v="2"/>
    <x v="0"/>
    <s v="State"/>
    <n v="0.75"/>
    <x v="0"/>
    <x v="0"/>
    <x v="0"/>
    <x v="0"/>
    <x v="0"/>
    <x v="1"/>
    <x v="1"/>
    <x v="1"/>
    <s v="No"/>
    <x v="7"/>
    <x v="0"/>
  </r>
  <r>
    <n v="5099"/>
    <x v="2"/>
    <x v="0"/>
    <s v="State"/>
    <n v="0.75"/>
    <x v="1"/>
    <x v="1"/>
    <x v="0"/>
    <x v="0"/>
    <x v="1"/>
    <x v="1"/>
    <x v="1"/>
    <x v="0"/>
    <s v="Yes"/>
    <x v="6"/>
    <x v="0"/>
  </r>
  <r>
    <n v="5100"/>
    <x v="1"/>
    <x v="0"/>
    <s v="State"/>
    <n v="0.5"/>
    <x v="1"/>
    <x v="0"/>
    <x v="0"/>
    <x v="0"/>
    <x v="1"/>
    <x v="1"/>
    <x v="1"/>
    <x v="0"/>
    <s v="Yes"/>
    <x v="6"/>
    <x v="0"/>
  </r>
  <r>
    <n v="5101"/>
    <x v="2"/>
    <x v="0"/>
    <s v="State"/>
    <n v="0.75"/>
    <x v="1"/>
    <x v="0"/>
    <x v="0"/>
    <x v="0"/>
    <x v="2"/>
    <x v="1"/>
    <x v="0"/>
    <x v="1"/>
    <s v="Yes"/>
    <x v="7"/>
    <x v="0"/>
  </r>
  <r>
    <n v="5102"/>
    <x v="2"/>
    <x v="0"/>
    <s v="State"/>
    <n v="0.75"/>
    <x v="1"/>
    <x v="0"/>
    <x v="1"/>
    <x v="1"/>
    <x v="0"/>
    <x v="1"/>
    <x v="1"/>
    <x v="1"/>
    <s v="Yes"/>
    <x v="6"/>
    <x v="0"/>
  </r>
  <r>
    <n v="5103"/>
    <x v="2"/>
    <x v="0"/>
    <s v="State"/>
    <n v="0.5"/>
    <x v="1"/>
    <x v="0"/>
    <x v="1"/>
    <x v="0"/>
    <x v="0"/>
    <x v="1"/>
    <x v="1"/>
    <x v="1"/>
    <s v="Yes"/>
    <x v="6"/>
    <x v="0"/>
  </r>
  <r>
    <n v="5104"/>
    <x v="2"/>
    <x v="0"/>
    <s v="Private"/>
    <n v="0.75"/>
    <x v="1"/>
    <x v="0"/>
    <x v="1"/>
    <x v="2"/>
    <x v="0"/>
    <x v="1"/>
    <x v="0"/>
    <x v="1"/>
    <s v="No"/>
    <x v="6"/>
    <x v="0"/>
  </r>
  <r>
    <n v="5105"/>
    <x v="2"/>
    <x v="1"/>
    <s v="State"/>
    <n v="0.5"/>
    <x v="1"/>
    <x v="0"/>
    <x v="0"/>
    <x v="0"/>
    <x v="2"/>
    <x v="1"/>
    <x v="0"/>
    <x v="0"/>
    <s v="Yes"/>
    <x v="4"/>
    <x v="0"/>
  </r>
  <r>
    <n v="5106"/>
    <x v="2"/>
    <x v="0"/>
    <s v="State"/>
    <n v="0.75"/>
    <x v="0"/>
    <x v="1"/>
    <x v="0"/>
    <x v="0"/>
    <x v="0"/>
    <x v="0"/>
    <x v="1"/>
    <x v="0"/>
    <s v="No"/>
    <x v="6"/>
    <x v="0"/>
  </r>
  <r>
    <n v="5107"/>
    <x v="2"/>
    <x v="0"/>
    <s v="State"/>
    <n v="0.75"/>
    <x v="1"/>
    <x v="1"/>
    <x v="0"/>
    <x v="0"/>
    <x v="0"/>
    <x v="1"/>
    <x v="1"/>
    <x v="0"/>
    <s v="Yes"/>
    <x v="6"/>
    <x v="0"/>
  </r>
  <r>
    <n v="5108"/>
    <x v="2"/>
    <x v="1"/>
    <s v="State"/>
    <n v="0.75"/>
    <x v="0"/>
    <x v="1"/>
    <x v="0"/>
    <x v="0"/>
    <x v="0"/>
    <x v="1"/>
    <x v="0"/>
    <x v="1"/>
    <s v="No"/>
    <x v="7"/>
    <x v="0"/>
  </r>
  <r>
    <n v="5109"/>
    <x v="3"/>
    <x v="1"/>
    <s v="Private"/>
    <n v="1"/>
    <x v="1"/>
    <x v="1"/>
    <x v="0"/>
    <x v="1"/>
    <x v="2"/>
    <x v="0"/>
    <x v="0"/>
    <x v="0"/>
    <s v="Yes"/>
    <x v="7"/>
    <x v="0"/>
  </r>
  <r>
    <n v="5110"/>
    <x v="2"/>
    <x v="0"/>
    <s v="Private"/>
    <n v="0.5"/>
    <x v="1"/>
    <x v="1"/>
    <x v="1"/>
    <x v="0"/>
    <x v="2"/>
    <x v="1"/>
    <x v="0"/>
    <x v="0"/>
    <s v="Yes"/>
    <x v="6"/>
    <x v="0"/>
  </r>
  <r>
    <n v="5111"/>
    <x v="3"/>
    <x v="0"/>
    <s v="State"/>
    <n v="0.5"/>
    <x v="1"/>
    <x v="0"/>
    <x v="0"/>
    <x v="1"/>
    <x v="1"/>
    <x v="1"/>
    <x v="0"/>
    <x v="0"/>
    <s v="Yes"/>
    <x v="1"/>
    <x v="0"/>
  </r>
  <r>
    <n v="5112"/>
    <x v="2"/>
    <x v="1"/>
    <s v="Private"/>
    <n v="1"/>
    <x v="1"/>
    <x v="1"/>
    <x v="0"/>
    <x v="0"/>
    <x v="0"/>
    <x v="1"/>
    <x v="1"/>
    <x v="1"/>
    <s v="Yes"/>
    <x v="1"/>
    <x v="0"/>
  </r>
  <r>
    <n v="5113"/>
    <x v="1"/>
    <x v="1"/>
    <s v="Other"/>
    <n v="0.5"/>
    <x v="0"/>
    <x v="0"/>
    <x v="0"/>
    <x v="0"/>
    <x v="0"/>
    <x v="1"/>
    <x v="0"/>
    <x v="1"/>
    <s v="Yes"/>
    <x v="1"/>
    <x v="0"/>
  </r>
  <r>
    <n v="5114"/>
    <x v="0"/>
    <x v="1"/>
    <s v="Other"/>
    <n v="0.5"/>
    <x v="1"/>
    <x v="0"/>
    <x v="0"/>
    <x v="0"/>
    <x v="1"/>
    <x v="1"/>
    <x v="0"/>
    <x v="0"/>
    <s v="Yes"/>
    <x v="0"/>
    <x v="0"/>
  </r>
  <r>
    <n v="5115"/>
    <x v="0"/>
    <x v="1"/>
    <s v="State"/>
    <n v="1"/>
    <x v="0"/>
    <x v="1"/>
    <x v="0"/>
    <x v="3"/>
    <x v="0"/>
    <x v="0"/>
    <x v="0"/>
    <x v="1"/>
    <s v="Yes"/>
    <x v="1"/>
    <x v="0"/>
  </r>
  <r>
    <n v="5116"/>
    <x v="4"/>
    <x v="1"/>
    <s v="State"/>
    <n v="1"/>
    <x v="0"/>
    <x v="0"/>
    <x v="1"/>
    <x v="0"/>
    <x v="0"/>
    <x v="0"/>
    <x v="0"/>
    <x v="1"/>
    <s v="Yes"/>
    <x v="0"/>
    <x v="0"/>
  </r>
  <r>
    <n v="5117"/>
    <x v="0"/>
    <x v="1"/>
    <s v="State"/>
    <n v="1"/>
    <x v="1"/>
    <x v="0"/>
    <x v="0"/>
    <x v="0"/>
    <x v="0"/>
    <x v="0"/>
    <x v="0"/>
    <x v="1"/>
    <s v="No"/>
    <x v="0"/>
    <x v="0"/>
  </r>
  <r>
    <n v="5118"/>
    <x v="5"/>
    <x v="1"/>
    <s v="Private"/>
    <n v="0.5"/>
    <x v="1"/>
    <x v="1"/>
    <x v="0"/>
    <x v="0"/>
    <x v="0"/>
    <x v="1"/>
    <x v="0"/>
    <x v="0"/>
    <s v="Yes"/>
    <x v="0"/>
    <x v="0"/>
  </r>
  <r>
    <n v="5119"/>
    <x v="2"/>
    <x v="0"/>
    <s v="State"/>
    <n v="1"/>
    <x v="1"/>
    <x v="1"/>
    <x v="1"/>
    <x v="0"/>
    <x v="1"/>
    <x v="1"/>
    <x v="0"/>
    <x v="0"/>
    <s v="No"/>
    <x v="0"/>
    <x v="0"/>
  </r>
  <r>
    <n v="5120"/>
    <x v="0"/>
    <x v="1"/>
    <s v="State"/>
    <n v="0.75"/>
    <x v="1"/>
    <x v="1"/>
    <x v="0"/>
    <x v="0"/>
    <x v="0"/>
    <x v="1"/>
    <x v="1"/>
    <x v="1"/>
    <s v="Yes"/>
    <x v="1"/>
    <x v="0"/>
  </r>
  <r>
    <n v="5121"/>
    <x v="0"/>
    <x v="1"/>
    <s v="Private"/>
    <n v="0.5"/>
    <x v="0"/>
    <x v="1"/>
    <x v="1"/>
    <x v="1"/>
    <x v="2"/>
    <x v="1"/>
    <x v="1"/>
    <x v="1"/>
    <s v="Yes"/>
    <x v="0"/>
    <x v="0"/>
  </r>
  <r>
    <n v="5122"/>
    <x v="0"/>
    <x v="1"/>
    <s v="State"/>
    <n v="0.5"/>
    <x v="0"/>
    <x v="1"/>
    <x v="1"/>
    <x v="0"/>
    <x v="2"/>
    <x v="0"/>
    <x v="0"/>
    <x v="1"/>
    <s v="No"/>
    <x v="3"/>
    <x v="1"/>
  </r>
  <r>
    <n v="5123"/>
    <x v="2"/>
    <x v="0"/>
    <s v="State"/>
    <n v="1"/>
    <x v="1"/>
    <x v="1"/>
    <x v="0"/>
    <x v="0"/>
    <x v="0"/>
    <x v="0"/>
    <x v="1"/>
    <x v="1"/>
    <s v="Yes"/>
    <x v="1"/>
    <x v="0"/>
  </r>
  <r>
    <n v="5124"/>
    <x v="3"/>
    <x v="1"/>
    <s v="Other"/>
    <n v="0.5"/>
    <x v="1"/>
    <x v="0"/>
    <x v="0"/>
    <x v="2"/>
    <x v="0"/>
    <x v="0"/>
    <x v="1"/>
    <x v="0"/>
    <s v="No"/>
    <x v="0"/>
    <x v="0"/>
  </r>
  <r>
    <n v="5125"/>
    <x v="2"/>
    <x v="1"/>
    <s v="State"/>
    <n v="0.75"/>
    <x v="0"/>
    <x v="1"/>
    <x v="1"/>
    <x v="0"/>
    <x v="0"/>
    <x v="1"/>
    <x v="1"/>
    <x v="1"/>
    <s v="Yes"/>
    <x v="4"/>
    <x v="0"/>
  </r>
  <r>
    <n v="5126"/>
    <x v="2"/>
    <x v="1"/>
    <s v="State"/>
    <n v="1"/>
    <x v="0"/>
    <x v="1"/>
    <x v="0"/>
    <x v="0"/>
    <x v="0"/>
    <x v="1"/>
    <x v="0"/>
    <x v="1"/>
    <s v="No"/>
    <x v="1"/>
    <x v="0"/>
  </r>
  <r>
    <n v="5127"/>
    <x v="2"/>
    <x v="1"/>
    <s v="Private"/>
    <n v="0.75"/>
    <x v="0"/>
    <x v="1"/>
    <x v="1"/>
    <x v="2"/>
    <x v="2"/>
    <x v="1"/>
    <x v="0"/>
    <x v="1"/>
    <s v="Yes"/>
    <x v="4"/>
    <x v="0"/>
  </r>
  <r>
    <n v="5128"/>
    <x v="2"/>
    <x v="1"/>
    <s v="State"/>
    <n v="0.75"/>
    <x v="1"/>
    <x v="0"/>
    <x v="0"/>
    <x v="0"/>
    <x v="1"/>
    <x v="1"/>
    <x v="1"/>
    <x v="0"/>
    <s v="Yes"/>
    <x v="0"/>
    <x v="0"/>
  </r>
  <r>
    <n v="5129"/>
    <x v="2"/>
    <x v="1"/>
    <s v="State"/>
    <n v="0.75"/>
    <x v="1"/>
    <x v="1"/>
    <x v="1"/>
    <x v="0"/>
    <x v="1"/>
    <x v="1"/>
    <x v="1"/>
    <x v="0"/>
    <s v="Yes"/>
    <x v="3"/>
    <x v="1"/>
  </r>
  <r>
    <n v="5130"/>
    <x v="2"/>
    <x v="1"/>
    <s v="State"/>
    <n v="0.5"/>
    <x v="0"/>
    <x v="1"/>
    <x v="0"/>
    <x v="0"/>
    <x v="0"/>
    <x v="0"/>
    <x v="0"/>
    <x v="1"/>
    <s v="No"/>
    <x v="4"/>
    <x v="0"/>
  </r>
  <r>
    <n v="5131"/>
    <x v="2"/>
    <x v="1"/>
    <s v="State"/>
    <n v="0.5"/>
    <x v="0"/>
    <x v="1"/>
    <x v="0"/>
    <x v="0"/>
    <x v="0"/>
    <x v="0"/>
    <x v="0"/>
    <x v="0"/>
    <s v="No"/>
    <x v="0"/>
    <x v="0"/>
  </r>
  <r>
    <n v="5132"/>
    <x v="2"/>
    <x v="1"/>
    <s v="Private"/>
    <n v="1"/>
    <x v="1"/>
    <x v="1"/>
    <x v="0"/>
    <x v="0"/>
    <x v="2"/>
    <x v="1"/>
    <x v="0"/>
    <x v="1"/>
    <s v="Yes"/>
    <x v="5"/>
    <x v="0"/>
  </r>
  <r>
    <n v="5133"/>
    <x v="2"/>
    <x v="1"/>
    <s v="Private"/>
    <n v="1"/>
    <x v="1"/>
    <x v="1"/>
    <x v="0"/>
    <x v="0"/>
    <x v="0"/>
    <x v="1"/>
    <x v="0"/>
    <x v="0"/>
    <s v="No"/>
    <x v="4"/>
    <x v="0"/>
  </r>
  <r>
    <n v="5134"/>
    <x v="2"/>
    <x v="1"/>
    <s v="State"/>
    <n v="1"/>
    <x v="1"/>
    <x v="0"/>
    <x v="1"/>
    <x v="0"/>
    <x v="0"/>
    <x v="0"/>
    <x v="0"/>
    <x v="1"/>
    <s v="Yes"/>
    <x v="4"/>
    <x v="0"/>
  </r>
  <r>
    <n v="5135"/>
    <x v="2"/>
    <x v="1"/>
    <s v="State"/>
    <n v="0.75"/>
    <x v="1"/>
    <x v="1"/>
    <x v="0"/>
    <x v="0"/>
    <x v="2"/>
    <x v="1"/>
    <x v="0"/>
    <x v="1"/>
    <s v="Yes"/>
    <x v="0"/>
    <x v="0"/>
  </r>
  <r>
    <n v="5136"/>
    <x v="3"/>
    <x v="1"/>
    <s v="State"/>
    <n v="0.5"/>
    <x v="0"/>
    <x v="1"/>
    <x v="0"/>
    <x v="0"/>
    <x v="1"/>
    <x v="1"/>
    <x v="1"/>
    <x v="1"/>
    <s v="Yes"/>
    <x v="1"/>
    <x v="0"/>
  </r>
  <r>
    <n v="5137"/>
    <x v="2"/>
    <x v="1"/>
    <s v="State"/>
    <n v="0.5"/>
    <x v="0"/>
    <x v="1"/>
    <x v="1"/>
    <x v="0"/>
    <x v="2"/>
    <x v="1"/>
    <x v="1"/>
    <x v="1"/>
    <s v="No"/>
    <x v="3"/>
    <x v="1"/>
  </r>
  <r>
    <n v="5138"/>
    <x v="2"/>
    <x v="1"/>
    <s v="Private"/>
    <n v="1"/>
    <x v="1"/>
    <x v="1"/>
    <x v="0"/>
    <x v="0"/>
    <x v="0"/>
    <x v="0"/>
    <x v="1"/>
    <x v="0"/>
    <s v="Yes"/>
    <x v="1"/>
    <x v="0"/>
  </r>
  <r>
    <n v="5139"/>
    <x v="2"/>
    <x v="1"/>
    <s v="State"/>
    <n v="0.75"/>
    <x v="0"/>
    <x v="1"/>
    <x v="1"/>
    <x v="2"/>
    <x v="2"/>
    <x v="1"/>
    <x v="1"/>
    <x v="1"/>
    <s v="Yes"/>
    <x v="3"/>
    <x v="1"/>
  </r>
  <r>
    <n v="5140"/>
    <x v="2"/>
    <x v="1"/>
    <s v="State"/>
    <n v="0.75"/>
    <x v="0"/>
    <x v="0"/>
    <x v="1"/>
    <x v="1"/>
    <x v="2"/>
    <x v="1"/>
    <x v="1"/>
    <x v="1"/>
    <s v="Yes"/>
    <x v="3"/>
    <x v="1"/>
  </r>
  <r>
    <n v="5141"/>
    <x v="3"/>
    <x v="1"/>
    <s v="State"/>
    <n v="0.5"/>
    <x v="0"/>
    <x v="1"/>
    <x v="0"/>
    <x v="0"/>
    <x v="0"/>
    <x v="1"/>
    <x v="0"/>
    <x v="0"/>
    <s v="Yes"/>
    <x v="2"/>
    <x v="0"/>
  </r>
  <r>
    <n v="5142"/>
    <x v="2"/>
    <x v="1"/>
    <s v="State"/>
    <n v="0.75"/>
    <x v="1"/>
    <x v="0"/>
    <x v="0"/>
    <x v="0"/>
    <x v="1"/>
    <x v="1"/>
    <x v="0"/>
    <x v="1"/>
    <s v="No"/>
    <x v="2"/>
    <x v="0"/>
  </r>
  <r>
    <n v="5143"/>
    <x v="2"/>
    <x v="1"/>
    <s v="Private"/>
    <n v="0.75"/>
    <x v="1"/>
    <x v="0"/>
    <x v="0"/>
    <x v="0"/>
    <x v="0"/>
    <x v="0"/>
    <x v="1"/>
    <x v="0"/>
    <s v="No"/>
    <x v="0"/>
    <x v="0"/>
  </r>
  <r>
    <n v="5144"/>
    <x v="3"/>
    <x v="1"/>
    <s v="State"/>
    <n v="0.75"/>
    <x v="0"/>
    <x v="1"/>
    <x v="1"/>
    <x v="2"/>
    <x v="2"/>
    <x v="1"/>
    <x v="0"/>
    <x v="0"/>
    <s v="Yes"/>
    <x v="5"/>
    <x v="0"/>
  </r>
  <r>
    <n v="5145"/>
    <x v="2"/>
    <x v="1"/>
    <s v="Private"/>
    <n v="1"/>
    <x v="1"/>
    <x v="0"/>
    <x v="0"/>
    <x v="2"/>
    <x v="0"/>
    <x v="0"/>
    <x v="1"/>
    <x v="1"/>
    <s v="No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1B8B3-50ED-4430-8474-572837DC4C8C}" name="PivotTable9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ansportation">
  <location ref="S25:V29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4">
        <item m="1" x="2"/>
        <item x="1"/>
        <item x="0"/>
        <item t="default"/>
      </items>
    </pivotField>
    <pivotField showAll="0"/>
    <pivotField showAll="0"/>
    <pivotField showAll="0"/>
    <pivotField axis="axisCol" dataField="1" showAll="0">
      <items count="3">
        <item n="Fail" x="1"/>
        <item n="Pass"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Pass/Fail" fld="15" subtotal="count" showDataAs="percentOfTotal" baseField="7" baseItem="0" numFmtId="10"/>
  </dataFields>
  <formats count="2">
    <format dxfId="31">
      <pivotArea type="all" dataOnly="0" outline="0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F3B5E-A4C9-4C34-BB29-1DD48255B65C}" name="PivotTable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ading">
  <location ref="S19:V23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4">
        <item m="1" x="2"/>
        <item x="1"/>
        <item x="0"/>
        <item t="default"/>
      </items>
    </pivotField>
    <pivotField showAll="0"/>
    <pivotField showAll="0"/>
    <pivotField showAll="0"/>
    <pivotField axis="axisCol" dataField="1" showAll="0">
      <items count="3">
        <item n="Fail" x="1"/>
        <item n="Pass"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Pass/Fail" fld="15" subtotal="count" showDataAs="percentOfTotal" baseField="11" baseItem="1" numFmtId="10"/>
  </dataFields>
  <formats count="1">
    <format dxfId="3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17E55-A77A-47F4-A369-8301250CF06C}" name="PivotTable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lyStudyHours">
  <location ref="S10:V16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>
      <items count="4">
        <item m="1" x="2"/>
        <item x="1"/>
        <item x="0"/>
        <item t="default"/>
      </items>
    </pivotField>
    <pivotField showAll="0"/>
    <pivotField showAll="0"/>
    <pivotField showAll="0"/>
    <pivotField axis="axisCol" dataField="1" showAll="0">
      <items count="3">
        <item n="Fail" x="1"/>
        <item n="Pass"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Pass/Fail" fld="15" subtotal="count" showDataAs="percentOfTotal" baseField="11" baseItem="1" numFmtId="10"/>
  </dataFields>
  <formats count="1">
    <format dxfId="3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A214A-DE86-43E1-AE33-613E6D322419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tes">
  <location ref="S3:V7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axis="axisCol" dataField="1" showAll="0">
      <items count="3">
        <item n="Fail" x="1"/>
        <item n="Pass" x="0"/>
        <item t="default"/>
      </items>
    </pivotField>
  </pivotFields>
  <rowFields count="1">
    <field x="11"/>
  </rowFields>
  <rowItems count="3">
    <i>
      <x v="1"/>
    </i>
    <i>
      <x v="2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Pass/Fail" fld="15" subtotal="count" showDataAs="percentOfTotal" baseField="11" baseItem="1" numFmtId="10"/>
  </dataFields>
  <formats count="1">
    <format dxfId="3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10D2A-41BA-4019-8C13-7BDA66F7E813}" name="PivotTable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ports Activity">
  <location ref="N10:Q14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n="Fail" x="1"/>
        <item n="Pass"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Pass/Fail" fld="15" subtotal="count" showDataAs="percentOfTotal" baseField="5" baseItem="0" numFmtId="10"/>
  </dataFields>
  <formats count="1">
    <format dxfId="35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AA024-EA24-4A98-8DBD-1BCC857434CE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dditional Work">
  <location ref="N3:Q7" firstHeaderRow="1" firstDataRow="2" firstDataCol="1"/>
  <pivotFields count="16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n="Fail" x="1"/>
        <item n="Pass"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Pass/Fail" fld="15" subtotal="count" showDataAs="percentOfTotal" baseField="5" baseItem="0" numFmtId="10"/>
  </dataFields>
  <formats count="1">
    <format dxfId="3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8B54D-0750-454D-B632-4361BBE8D16C}" name="Count of Remarks based on Age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 colHeaderCaption="Remarks">
  <location ref="A10:D21" firstHeaderRow="1" firstDataRow="2" firstDataCol="1"/>
  <pivotFields count="16">
    <pivotField showAll="0"/>
    <pivotField axis="axisRow" showAll="0">
      <items count="10">
        <item x="2"/>
        <item x="4"/>
        <item x="1"/>
        <item x="0"/>
        <item x="3"/>
        <item x="8"/>
        <item x="7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n="Fail" x="1"/>
        <item n="Pass" x="0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Remarks" fld="15" subtotal="count" baseField="1" baseItem="0"/>
  </dataFields>
  <formats count="1">
    <format dxfId="3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F6646-4A11-4CB3-926D-DC99A53ACE5B}" name="Percentage of Grade based on Gender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Gender" colHeaderCaption="Grades">
  <location ref="A3:I6" firstHeaderRow="1" firstDataRow="2" firstDataCol="1"/>
  <pivotFields count="16">
    <pivotField showAll="0"/>
    <pivotField showAll="0"/>
    <pivotField name="Gender"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9">
        <item x="0"/>
        <item x="1"/>
        <item x="4"/>
        <item x="5"/>
        <item x="2"/>
        <item x="7"/>
        <item x="6"/>
        <item x="3"/>
        <item t="default"/>
      </items>
    </pivotField>
    <pivotField showAll="0"/>
  </pivotFields>
  <rowFields count="1">
    <field x="2"/>
  </rowFields>
  <rowItems count="2">
    <i>
      <x/>
    </i>
    <i t="grand">
      <x/>
    </i>
  </rowItems>
  <colFields count="1">
    <field x="14"/>
  </colFields>
  <col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colItems>
  <dataFields count="1">
    <dataField name="Count of Grade" fld="14" subtotal="count" showDataAs="percentOfTotal" baseField="2" baseItem="0" numFmtId="10"/>
  </dataFields>
  <formats count="1">
    <format dxfId="38">
      <pivotArea type="all" dataOnly="0" outline="0" fieldPosition="0"/>
    </format>
  </formats>
  <chartFormats count="8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CBA24-C20D-44E7-8AB1-3F9DB6A265F3}" name="PivotTable4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isteningInClass">
  <location ref="N25:Q29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m="1" x="2"/>
        <item x="0"/>
        <item x="1"/>
        <item t="default"/>
      </items>
    </pivotField>
    <pivotField showAll="0"/>
    <pivotField showAll="0"/>
    <pivotField axis="axisCol" dataField="1" showAll="0">
      <items count="3">
        <item n="Fail" x="1"/>
        <item n="Pass" x="0"/>
        <item t="default"/>
      </items>
    </pivotField>
  </pivotFields>
  <rowFields count="1">
    <field x="12"/>
  </rowFields>
  <rowItems count="3">
    <i>
      <x v="1"/>
    </i>
    <i>
      <x v="2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Pass/Fail" fld="15" subtotal="count" showDataAs="percentOfTotal" baseField="12" baseItem="1" numFmtId="10"/>
  </dataFields>
  <formats count="2">
    <format dxfId="40">
      <pivotArea type="all" dataOnly="0" outline="0" fieldPosition="0"/>
    </format>
    <format dxfId="3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A8D29-A7F0-47C7-B36E-780D97ADBADE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ttendance">
  <location ref="N17:Q22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3">
        <item n="Fail" x="1"/>
        <item n="Pass" x="0"/>
        <item t="default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Pass/Fail" fld="15" subtotal="count" showDataAs="percentOfTotal" baseField="5" baseItem="0" numFmtId="10"/>
  </dataFields>
  <formats count="1">
    <format dxfId="4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F4624E-4FC0-41E1-A926-043C456EB1AB}" name="Table2" displayName="Table2" ref="A1:P146" totalsRowShown="0">
  <autoFilter ref="A1:P146" xr:uid="{89F4624E-4FC0-41E1-A926-043C456EB1AB}"/>
  <tableColumns count="16">
    <tableColumn id="1" xr3:uid="{3C10559B-9933-49EF-888B-84103393709C}" name="Id"/>
    <tableColumn id="2" xr3:uid="{F3ED58E6-4662-448A-90C3-9F95A4034838}" name="Student_Age"/>
    <tableColumn id="3" xr3:uid="{C2321BFB-2004-4FF7-96F0-CDD86A9D049B}" name="Sex"/>
    <tableColumn id="4" xr3:uid="{08271943-8F5E-4FC3-A897-50870217E143}" name="High_School_Type"/>
    <tableColumn id="5" xr3:uid="{43E4AFF1-A3EE-4210-9DC6-106DDF1ABA92}" name="Scholarship" dataDxfId="43"/>
    <tableColumn id="6" xr3:uid="{FCA6C582-FCC6-41EF-A830-EF5A1A931888}" name="Additional_Work"/>
    <tableColumn id="7" xr3:uid="{CA78AD19-D347-4FFB-82CF-81647A58F0C1}" name="Sports_activity"/>
    <tableColumn id="8" xr3:uid="{E1C44D8E-43CE-4572-9C27-A8B48E30727F}" name="Transportation"/>
    <tableColumn id="9" xr3:uid="{737DE089-7CCE-475D-AB36-5F3FA972E123}" name="Weekly_Study_Hours"/>
    <tableColumn id="10" xr3:uid="{0FC1220E-91AD-48AC-BEA0-63E8539947B9}" name="Attendance"/>
    <tableColumn id="11" xr3:uid="{F0B6F3DA-E07D-42DA-B7E7-69FC10296D37}" name="Reading"/>
    <tableColumn id="12" xr3:uid="{F034F3B7-EDC5-419F-BDAD-108FFE145C94}" name="Notes"/>
    <tableColumn id="13" xr3:uid="{2AB991ED-2C58-4E60-9645-316BAA42A30C}" name="Listening_in_Class"/>
    <tableColumn id="14" xr3:uid="{0B9559E1-A2BF-4DAC-99CD-92D0CE97CA81}" name="Project_work"/>
    <tableColumn id="15" xr3:uid="{834261A0-039B-4B92-9885-A014F84D85B8}" name="Grade"/>
    <tableColumn id="16" xr3:uid="{70D4438D-1299-47F4-958E-F8B47F46CF69}" name="Remarks" dataDxfId="42">
      <calculatedColumnFormula>IF(OR(Table2[[#This Row],[Grade]]="AA",Table2[[#This Row],[Grade]]="BA", Table2[[#This Row],[Grade]]="BB",Table2[[#This Row],[Grade]]="CB",Table2[[#This Row],[Grade]]="CC",Table2[[#This Row],[Grade]]="DC",Table2[[#This Row],[Grade]]="DD"),1,0)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1492-55C0-4848-9D6D-D5F6920B4610}">
  <dimension ref="A1:P146"/>
  <sheetViews>
    <sheetView topLeftCell="A9" workbookViewId="0">
      <selection activeCell="F152" sqref="F152"/>
    </sheetView>
  </sheetViews>
  <sheetFormatPr defaultRowHeight="14.4" x14ac:dyDescent="0.3"/>
  <cols>
    <col min="1" max="1" width="5" bestFit="1" customWidth="1"/>
    <col min="2" max="2" width="13.77734375" customWidth="1"/>
    <col min="3" max="3" width="6.88671875" bestFit="1" customWidth="1"/>
    <col min="4" max="4" width="18.44140625" customWidth="1"/>
    <col min="5" max="5" width="12.5546875" customWidth="1"/>
    <col min="6" max="6" width="17.109375" customWidth="1"/>
    <col min="7" max="8" width="15.33203125" customWidth="1"/>
    <col min="9" max="9" width="20.88671875" customWidth="1"/>
    <col min="10" max="10" width="12.6640625" customWidth="1"/>
    <col min="11" max="11" width="9.6640625" customWidth="1"/>
    <col min="12" max="12" width="7.77734375" customWidth="1"/>
    <col min="13" max="13" width="18" customWidth="1"/>
    <col min="14" max="14" width="14.109375" customWidth="1"/>
    <col min="15" max="15" width="7.88671875" customWidth="1"/>
    <col min="16" max="16" width="10.109375" customWidth="1"/>
  </cols>
  <sheetData>
    <row r="1" spans="1:16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25</v>
      </c>
      <c r="I1" t="s">
        <v>35</v>
      </c>
      <c r="J1" t="s">
        <v>19</v>
      </c>
      <c r="K1" t="s">
        <v>24</v>
      </c>
      <c r="L1" t="s">
        <v>23</v>
      </c>
      <c r="M1" t="s">
        <v>36</v>
      </c>
      <c r="N1" t="s">
        <v>37</v>
      </c>
      <c r="O1" t="s">
        <v>38</v>
      </c>
      <c r="P1" t="s">
        <v>41</v>
      </c>
    </row>
    <row r="2" spans="1:16" x14ac:dyDescent="0.3">
      <c r="A2">
        <v>5001</v>
      </c>
      <c r="B2">
        <v>21</v>
      </c>
      <c r="C2" t="s">
        <v>17</v>
      </c>
      <c r="D2" t="s">
        <v>39</v>
      </c>
      <c r="E2" s="1">
        <v>0.5</v>
      </c>
      <c r="F2" t="s">
        <v>18</v>
      </c>
      <c r="G2" t="s">
        <v>16</v>
      </c>
      <c r="H2" t="s">
        <v>27</v>
      </c>
      <c r="I2">
        <v>0</v>
      </c>
      <c r="J2" t="s">
        <v>20</v>
      </c>
      <c r="K2" t="s">
        <v>18</v>
      </c>
      <c r="L2" t="s">
        <v>18</v>
      </c>
      <c r="M2" t="s">
        <v>16</v>
      </c>
      <c r="N2" t="s">
        <v>16</v>
      </c>
      <c r="O2" t="s">
        <v>4</v>
      </c>
      <c r="P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3" spans="1:16" x14ac:dyDescent="0.3">
      <c r="A3">
        <v>5002</v>
      </c>
      <c r="B3">
        <v>20</v>
      </c>
      <c r="C3" t="s">
        <v>17</v>
      </c>
      <c r="D3" t="s">
        <v>39</v>
      </c>
      <c r="E3" s="1">
        <v>0.5</v>
      </c>
      <c r="F3" t="s">
        <v>18</v>
      </c>
      <c r="G3" t="s">
        <v>16</v>
      </c>
      <c r="H3" t="s">
        <v>27</v>
      </c>
      <c r="I3">
        <v>0</v>
      </c>
      <c r="J3" t="s">
        <v>20</v>
      </c>
      <c r="K3" t="s">
        <v>18</v>
      </c>
      <c r="L3" t="s">
        <v>16</v>
      </c>
      <c r="M3" t="s">
        <v>18</v>
      </c>
      <c r="N3" t="s">
        <v>18</v>
      </c>
      <c r="O3" t="s">
        <v>4</v>
      </c>
      <c r="P3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4" spans="1:16" x14ac:dyDescent="0.3">
      <c r="A4">
        <v>5003</v>
      </c>
      <c r="B4">
        <v>21</v>
      </c>
      <c r="C4" t="s">
        <v>17</v>
      </c>
      <c r="D4" t="s">
        <v>40</v>
      </c>
      <c r="E4" s="1">
        <v>0.5</v>
      </c>
      <c r="F4" t="s">
        <v>16</v>
      </c>
      <c r="G4" t="s">
        <v>16</v>
      </c>
      <c r="H4" t="s">
        <v>27</v>
      </c>
      <c r="I4">
        <v>2</v>
      </c>
      <c r="J4" t="s">
        <v>21</v>
      </c>
      <c r="K4" t="s">
        <v>16</v>
      </c>
      <c r="L4" t="s">
        <v>16</v>
      </c>
      <c r="M4" t="s">
        <v>16</v>
      </c>
      <c r="N4" t="s">
        <v>18</v>
      </c>
      <c r="O4" t="s">
        <v>4</v>
      </c>
      <c r="P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5" spans="1:16" x14ac:dyDescent="0.3">
      <c r="A5">
        <v>5004</v>
      </c>
      <c r="B5">
        <v>18</v>
      </c>
      <c r="C5" t="s">
        <v>15</v>
      </c>
      <c r="D5" t="s">
        <v>27</v>
      </c>
      <c r="E5" s="1">
        <v>0.5</v>
      </c>
      <c r="F5" t="s">
        <v>18</v>
      </c>
      <c r="G5" t="s">
        <v>16</v>
      </c>
      <c r="H5" t="s">
        <v>26</v>
      </c>
      <c r="I5">
        <v>2</v>
      </c>
      <c r="J5" t="s">
        <v>20</v>
      </c>
      <c r="K5" t="s">
        <v>16</v>
      </c>
      <c r="L5" t="s">
        <v>18</v>
      </c>
      <c r="M5" t="s">
        <v>16</v>
      </c>
      <c r="N5" t="s">
        <v>16</v>
      </c>
      <c r="O5" t="s">
        <v>4</v>
      </c>
      <c r="P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6" spans="1:16" x14ac:dyDescent="0.3">
      <c r="A6">
        <v>5005</v>
      </c>
      <c r="B6">
        <v>22</v>
      </c>
      <c r="C6" t="s">
        <v>17</v>
      </c>
      <c r="D6" t="s">
        <v>27</v>
      </c>
      <c r="E6" s="1">
        <v>0.5</v>
      </c>
      <c r="F6" t="s">
        <v>16</v>
      </c>
      <c r="G6" t="s">
        <v>16</v>
      </c>
      <c r="H6" t="s">
        <v>26</v>
      </c>
      <c r="I6">
        <v>12</v>
      </c>
      <c r="J6" t="s">
        <v>20</v>
      </c>
      <c r="K6" t="s">
        <v>18</v>
      </c>
      <c r="L6" t="s">
        <v>16</v>
      </c>
      <c r="M6" t="s">
        <v>18</v>
      </c>
      <c r="N6" t="s">
        <v>18</v>
      </c>
      <c r="O6" t="s">
        <v>4</v>
      </c>
      <c r="P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7" spans="1:16" x14ac:dyDescent="0.3">
      <c r="A7">
        <v>5006</v>
      </c>
      <c r="B7">
        <v>20</v>
      </c>
      <c r="C7" t="s">
        <v>17</v>
      </c>
      <c r="D7" t="s">
        <v>40</v>
      </c>
      <c r="E7" s="1">
        <v>0.5</v>
      </c>
      <c r="F7" t="s">
        <v>16</v>
      </c>
      <c r="G7" t="s">
        <v>16</v>
      </c>
      <c r="H7" t="s">
        <v>27</v>
      </c>
      <c r="I7">
        <v>2</v>
      </c>
      <c r="J7" t="s">
        <v>20</v>
      </c>
      <c r="K7" t="s">
        <v>18</v>
      </c>
      <c r="L7" t="s">
        <v>16</v>
      </c>
      <c r="M7" t="s">
        <v>18</v>
      </c>
      <c r="N7" t="s">
        <v>18</v>
      </c>
      <c r="O7" t="s">
        <v>5</v>
      </c>
      <c r="P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8" spans="1:16" x14ac:dyDescent="0.3">
      <c r="A8">
        <v>5007</v>
      </c>
      <c r="B8">
        <v>18</v>
      </c>
      <c r="C8" t="s">
        <v>17</v>
      </c>
      <c r="D8" t="s">
        <v>40</v>
      </c>
      <c r="E8" s="1">
        <v>0.75</v>
      </c>
      <c r="F8" t="s">
        <v>16</v>
      </c>
      <c r="G8" t="s">
        <v>16</v>
      </c>
      <c r="H8" t="s">
        <v>27</v>
      </c>
      <c r="I8">
        <v>0</v>
      </c>
      <c r="J8" t="s">
        <v>20</v>
      </c>
      <c r="K8" t="s">
        <v>16</v>
      </c>
      <c r="L8" t="s">
        <v>18</v>
      </c>
      <c r="M8" t="s">
        <v>18</v>
      </c>
      <c r="N8" t="s">
        <v>18</v>
      </c>
      <c r="O8" t="s">
        <v>8</v>
      </c>
      <c r="P8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9" spans="1:16" x14ac:dyDescent="0.3">
      <c r="A9">
        <v>5008</v>
      </c>
      <c r="B9">
        <v>18</v>
      </c>
      <c r="C9" t="s">
        <v>15</v>
      </c>
      <c r="D9" t="s">
        <v>40</v>
      </c>
      <c r="E9" s="1">
        <v>0.5</v>
      </c>
      <c r="F9" t="s">
        <v>18</v>
      </c>
      <c r="G9" t="s">
        <v>18</v>
      </c>
      <c r="H9" t="s">
        <v>26</v>
      </c>
      <c r="I9">
        <v>2</v>
      </c>
      <c r="J9" t="s">
        <v>22</v>
      </c>
      <c r="K9" t="s">
        <v>16</v>
      </c>
      <c r="L9" t="s">
        <v>18</v>
      </c>
      <c r="M9" t="s">
        <v>18</v>
      </c>
      <c r="N9" t="s">
        <v>18</v>
      </c>
      <c r="O9" t="s">
        <v>5</v>
      </c>
      <c r="P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0" spans="1:16" x14ac:dyDescent="0.3">
      <c r="A10">
        <v>5009</v>
      </c>
      <c r="B10">
        <v>19</v>
      </c>
      <c r="C10" t="s">
        <v>15</v>
      </c>
      <c r="D10" t="s">
        <v>39</v>
      </c>
      <c r="E10" s="1">
        <v>0.5</v>
      </c>
      <c r="F10" t="s">
        <v>16</v>
      </c>
      <c r="G10" t="s">
        <v>18</v>
      </c>
      <c r="H10" t="s">
        <v>26</v>
      </c>
      <c r="I10">
        <v>0</v>
      </c>
      <c r="J10" t="s">
        <v>20</v>
      </c>
      <c r="K10" t="s">
        <v>16</v>
      </c>
      <c r="L10" t="s">
        <v>16</v>
      </c>
      <c r="M10" t="s">
        <v>16</v>
      </c>
      <c r="N10" t="s">
        <v>18</v>
      </c>
      <c r="O10" t="s">
        <v>8</v>
      </c>
      <c r="P10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1" spans="1:16" x14ac:dyDescent="0.3">
      <c r="A11">
        <v>5010</v>
      </c>
      <c r="B11">
        <v>21</v>
      </c>
      <c r="C11" t="s">
        <v>15</v>
      </c>
      <c r="D11" t="s">
        <v>40</v>
      </c>
      <c r="E11" s="1">
        <v>0.5</v>
      </c>
      <c r="F11" t="s">
        <v>16</v>
      </c>
      <c r="G11" t="s">
        <v>16</v>
      </c>
      <c r="H11" t="s">
        <v>26</v>
      </c>
      <c r="I11">
        <v>12</v>
      </c>
      <c r="J11" t="s">
        <v>21</v>
      </c>
      <c r="K11" t="s">
        <v>16</v>
      </c>
      <c r="L11" t="s">
        <v>18</v>
      </c>
      <c r="M11" t="s">
        <v>16</v>
      </c>
      <c r="N11" t="s">
        <v>16</v>
      </c>
      <c r="O11" t="s">
        <v>11</v>
      </c>
      <c r="P11">
        <f>IF(OR(Table2[[#This Row],[Grade]]="AA",Table2[[#This Row],[Grade]]="BA", Table2[[#This Row],[Grade]]="BB",Table2[[#This Row],[Grade]]="CB",Table2[[#This Row],[Grade]]="CC",Table2[[#This Row],[Grade]]="DC",Table2[[#This Row],[Grade]]="DD"),1,0)</f>
        <v>0</v>
      </c>
    </row>
    <row r="12" spans="1:16" x14ac:dyDescent="0.3">
      <c r="A12">
        <v>5011</v>
      </c>
      <c r="B12">
        <v>18</v>
      </c>
      <c r="C12" t="s">
        <v>15</v>
      </c>
      <c r="D12" t="s">
        <v>27</v>
      </c>
      <c r="E12" s="1">
        <v>0.5</v>
      </c>
      <c r="F12" t="s">
        <v>16</v>
      </c>
      <c r="G12" t="s">
        <v>16</v>
      </c>
      <c r="H12" t="s">
        <v>27</v>
      </c>
      <c r="I12">
        <v>12</v>
      </c>
      <c r="J12" t="s">
        <v>22</v>
      </c>
      <c r="K12" t="s">
        <v>16</v>
      </c>
      <c r="L12" t="s">
        <v>16</v>
      </c>
      <c r="M12" t="s">
        <v>16</v>
      </c>
      <c r="N12" t="s">
        <v>18</v>
      </c>
      <c r="O12" t="s">
        <v>5</v>
      </c>
      <c r="P1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3" spans="1:16" x14ac:dyDescent="0.3">
      <c r="A13">
        <v>5012</v>
      </c>
      <c r="B13">
        <v>18</v>
      </c>
      <c r="C13" t="s">
        <v>15</v>
      </c>
      <c r="D13" t="s">
        <v>27</v>
      </c>
      <c r="E13" s="1">
        <v>0.75</v>
      </c>
      <c r="F13" t="s">
        <v>18</v>
      </c>
      <c r="G13" t="s">
        <v>18</v>
      </c>
      <c r="H13" t="s">
        <v>27</v>
      </c>
      <c r="I13">
        <v>8</v>
      </c>
      <c r="J13" t="s">
        <v>22</v>
      </c>
      <c r="K13" t="s">
        <v>16</v>
      </c>
      <c r="L13" t="s">
        <v>18</v>
      </c>
      <c r="M13" t="s">
        <v>16</v>
      </c>
      <c r="N13" t="s">
        <v>18</v>
      </c>
      <c r="O13" t="s">
        <v>11</v>
      </c>
      <c r="P13">
        <f>IF(OR(Table2[[#This Row],[Grade]]="AA",Table2[[#This Row],[Grade]]="BA", Table2[[#This Row],[Grade]]="BB",Table2[[#This Row],[Grade]]="CB",Table2[[#This Row],[Grade]]="CC",Table2[[#This Row],[Grade]]="DC",Table2[[#This Row],[Grade]]="DD"),1,0)</f>
        <v>0</v>
      </c>
    </row>
    <row r="14" spans="1:16" x14ac:dyDescent="0.3">
      <c r="A14">
        <v>5013</v>
      </c>
      <c r="B14">
        <v>18</v>
      </c>
      <c r="C14" t="s">
        <v>15</v>
      </c>
      <c r="D14" t="s">
        <v>27</v>
      </c>
      <c r="E14" s="1">
        <v>0.75</v>
      </c>
      <c r="F14" t="s">
        <v>16</v>
      </c>
      <c r="G14" t="s">
        <v>16</v>
      </c>
      <c r="H14" t="s">
        <v>27</v>
      </c>
      <c r="I14">
        <v>0</v>
      </c>
      <c r="J14" t="s">
        <v>20</v>
      </c>
      <c r="K14" t="s">
        <v>18</v>
      </c>
      <c r="L14" t="s">
        <v>16</v>
      </c>
      <c r="M14" t="s">
        <v>16</v>
      </c>
      <c r="N14" t="s">
        <v>16</v>
      </c>
      <c r="O14" t="s">
        <v>11</v>
      </c>
      <c r="P14">
        <f>IF(OR(Table2[[#This Row],[Grade]]="AA",Table2[[#This Row],[Grade]]="BA", Table2[[#This Row],[Grade]]="BB",Table2[[#This Row],[Grade]]="CB",Table2[[#This Row],[Grade]]="CC",Table2[[#This Row],[Grade]]="DC",Table2[[#This Row],[Grade]]="DD"),1,0)</f>
        <v>0</v>
      </c>
    </row>
    <row r="15" spans="1:16" x14ac:dyDescent="0.3">
      <c r="A15">
        <v>5014</v>
      </c>
      <c r="B15">
        <v>19</v>
      </c>
      <c r="C15" t="s">
        <v>15</v>
      </c>
      <c r="D15" t="s">
        <v>40</v>
      </c>
      <c r="E15" s="1">
        <v>1</v>
      </c>
      <c r="F15" t="s">
        <v>16</v>
      </c>
      <c r="G15" t="s">
        <v>16</v>
      </c>
      <c r="H15" t="s">
        <v>27</v>
      </c>
      <c r="I15">
        <v>0</v>
      </c>
      <c r="J15" t="s">
        <v>20</v>
      </c>
      <c r="K15" t="s">
        <v>18</v>
      </c>
      <c r="L15" t="s">
        <v>16</v>
      </c>
      <c r="M15" t="s">
        <v>16</v>
      </c>
      <c r="N15" t="s">
        <v>18</v>
      </c>
      <c r="O15" t="s">
        <v>4</v>
      </c>
      <c r="P1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6" spans="1:16" x14ac:dyDescent="0.3">
      <c r="A16">
        <v>5015</v>
      </c>
      <c r="B16">
        <v>26</v>
      </c>
      <c r="C16" t="s">
        <v>17</v>
      </c>
      <c r="D16" t="s">
        <v>40</v>
      </c>
      <c r="E16" s="1">
        <v>0.75</v>
      </c>
      <c r="F16" t="s">
        <v>18</v>
      </c>
      <c r="G16" t="s">
        <v>18</v>
      </c>
      <c r="H16" t="s">
        <v>27</v>
      </c>
      <c r="I16">
        <v>12</v>
      </c>
      <c r="J16" t="s">
        <v>21</v>
      </c>
      <c r="K16" t="s">
        <v>16</v>
      </c>
      <c r="L16" t="s">
        <v>16</v>
      </c>
      <c r="M16" t="s">
        <v>18</v>
      </c>
      <c r="N16" t="s">
        <v>18</v>
      </c>
      <c r="O16" t="s">
        <v>5</v>
      </c>
      <c r="P1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7" spans="1:16" x14ac:dyDescent="0.3">
      <c r="A17">
        <v>5016</v>
      </c>
      <c r="B17">
        <v>22</v>
      </c>
      <c r="C17" t="s">
        <v>17</v>
      </c>
      <c r="D17" t="s">
        <v>40</v>
      </c>
      <c r="E17" s="1">
        <v>0.5</v>
      </c>
      <c r="F17" t="s">
        <v>16</v>
      </c>
      <c r="G17" t="s">
        <v>16</v>
      </c>
      <c r="H17" t="s">
        <v>27</v>
      </c>
      <c r="I17">
        <v>0</v>
      </c>
      <c r="J17" t="s">
        <v>20</v>
      </c>
      <c r="K17" t="s">
        <v>16</v>
      </c>
      <c r="L17" t="s">
        <v>18</v>
      </c>
      <c r="M17" t="s">
        <v>16</v>
      </c>
      <c r="N17" t="s">
        <v>18</v>
      </c>
      <c r="O17" t="s">
        <v>5</v>
      </c>
      <c r="P1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8" spans="1:16" x14ac:dyDescent="0.3">
      <c r="A18">
        <v>5017</v>
      </c>
      <c r="B18">
        <v>18</v>
      </c>
      <c r="C18" t="s">
        <v>15</v>
      </c>
      <c r="D18" t="s">
        <v>40</v>
      </c>
      <c r="E18" s="1">
        <v>1</v>
      </c>
      <c r="F18" t="s">
        <v>16</v>
      </c>
      <c r="G18" t="s">
        <v>18</v>
      </c>
      <c r="H18" t="s">
        <v>27</v>
      </c>
      <c r="I18">
        <v>0</v>
      </c>
      <c r="J18" t="s">
        <v>20</v>
      </c>
      <c r="K18" t="s">
        <v>18</v>
      </c>
      <c r="L18" t="s">
        <v>16</v>
      </c>
      <c r="M18" t="s">
        <v>16</v>
      </c>
      <c r="N18" t="s">
        <v>16</v>
      </c>
      <c r="O18" t="s">
        <v>4</v>
      </c>
      <c r="P18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9" spans="1:16" x14ac:dyDescent="0.3">
      <c r="A19">
        <v>5018</v>
      </c>
      <c r="B19">
        <v>22</v>
      </c>
      <c r="C19" t="s">
        <v>17</v>
      </c>
      <c r="D19" t="s">
        <v>40</v>
      </c>
      <c r="E19" s="1">
        <v>0.5</v>
      </c>
      <c r="F19" t="s">
        <v>16</v>
      </c>
      <c r="G19" t="s">
        <v>16</v>
      </c>
      <c r="H19" t="s">
        <v>27</v>
      </c>
      <c r="I19">
        <v>0</v>
      </c>
      <c r="J19" t="s">
        <v>20</v>
      </c>
      <c r="K19" t="s">
        <v>18</v>
      </c>
      <c r="L19" t="s">
        <v>16</v>
      </c>
      <c r="M19" t="s">
        <v>16</v>
      </c>
      <c r="N19" t="s">
        <v>18</v>
      </c>
      <c r="O19" t="s">
        <v>5</v>
      </c>
      <c r="P1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20" spans="1:16" x14ac:dyDescent="0.3">
      <c r="A20">
        <v>5019</v>
      </c>
      <c r="B20">
        <v>18</v>
      </c>
      <c r="C20" t="s">
        <v>15</v>
      </c>
      <c r="D20" t="s">
        <v>40</v>
      </c>
      <c r="E20" s="1">
        <v>0.75</v>
      </c>
      <c r="F20" t="s">
        <v>16</v>
      </c>
      <c r="G20" t="s">
        <v>16</v>
      </c>
      <c r="H20" t="s">
        <v>27</v>
      </c>
      <c r="I20">
        <v>12</v>
      </c>
      <c r="J20" t="s">
        <v>20</v>
      </c>
      <c r="K20" t="s">
        <v>18</v>
      </c>
      <c r="L20" t="s">
        <v>16</v>
      </c>
      <c r="M20" t="s">
        <v>16</v>
      </c>
      <c r="N20" t="s">
        <v>16</v>
      </c>
      <c r="O20" t="s">
        <v>5</v>
      </c>
      <c r="P20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21" spans="1:16" x14ac:dyDescent="0.3">
      <c r="A21">
        <v>5020</v>
      </c>
      <c r="B21">
        <v>18</v>
      </c>
      <c r="C21" t="s">
        <v>17</v>
      </c>
      <c r="D21" t="s">
        <v>27</v>
      </c>
      <c r="E21" s="1">
        <v>0.5</v>
      </c>
      <c r="F21" t="s">
        <v>16</v>
      </c>
      <c r="G21" t="s">
        <v>16</v>
      </c>
      <c r="H21" t="s">
        <v>26</v>
      </c>
      <c r="I21">
        <v>2</v>
      </c>
      <c r="J21" t="s">
        <v>22</v>
      </c>
      <c r="K21" t="s">
        <v>16</v>
      </c>
      <c r="L21" t="s">
        <v>16</v>
      </c>
      <c r="M21" t="s">
        <v>18</v>
      </c>
      <c r="N21" t="s">
        <v>16</v>
      </c>
      <c r="O21" t="s">
        <v>6</v>
      </c>
      <c r="P21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22" spans="1:16" x14ac:dyDescent="0.3">
      <c r="A22">
        <v>5021</v>
      </c>
      <c r="B22">
        <v>18</v>
      </c>
      <c r="C22" t="s">
        <v>17</v>
      </c>
      <c r="D22" t="s">
        <v>40</v>
      </c>
      <c r="E22" s="1">
        <v>1</v>
      </c>
      <c r="F22" t="s">
        <v>18</v>
      </c>
      <c r="G22" t="s">
        <v>16</v>
      </c>
      <c r="H22" t="s">
        <v>26</v>
      </c>
      <c r="I22">
        <v>0</v>
      </c>
      <c r="J22" t="s">
        <v>21</v>
      </c>
      <c r="K22" t="s">
        <v>16</v>
      </c>
      <c r="L22" t="s">
        <v>16</v>
      </c>
      <c r="M22" t="s">
        <v>18</v>
      </c>
      <c r="N22" t="s">
        <v>16</v>
      </c>
      <c r="O22" t="s">
        <v>4</v>
      </c>
      <c r="P2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23" spans="1:16" x14ac:dyDescent="0.3">
      <c r="A23">
        <v>5022</v>
      </c>
      <c r="B23">
        <v>18</v>
      </c>
      <c r="C23" t="s">
        <v>17</v>
      </c>
      <c r="D23" t="s">
        <v>40</v>
      </c>
      <c r="E23" s="1">
        <v>1</v>
      </c>
      <c r="F23" t="s">
        <v>16</v>
      </c>
      <c r="G23" t="s">
        <v>16</v>
      </c>
      <c r="H23" t="s">
        <v>26</v>
      </c>
      <c r="I23">
        <v>0</v>
      </c>
      <c r="J23" t="s">
        <v>21</v>
      </c>
      <c r="K23" t="s">
        <v>16</v>
      </c>
      <c r="L23" t="s">
        <v>16</v>
      </c>
      <c r="M23" t="s">
        <v>16</v>
      </c>
      <c r="N23" t="s">
        <v>16</v>
      </c>
      <c r="O23" t="s">
        <v>4</v>
      </c>
      <c r="P23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24" spans="1:16" x14ac:dyDescent="0.3">
      <c r="A24">
        <v>5023</v>
      </c>
      <c r="B24">
        <v>22</v>
      </c>
      <c r="C24" t="s">
        <v>17</v>
      </c>
      <c r="D24" t="s">
        <v>40</v>
      </c>
      <c r="E24" s="1">
        <v>0.5</v>
      </c>
      <c r="F24" t="s">
        <v>18</v>
      </c>
      <c r="G24" t="s">
        <v>16</v>
      </c>
      <c r="H24" t="s">
        <v>26</v>
      </c>
      <c r="I24">
        <v>0</v>
      </c>
      <c r="J24" t="s">
        <v>20</v>
      </c>
      <c r="K24" t="s">
        <v>18</v>
      </c>
      <c r="L24" t="s">
        <v>18</v>
      </c>
      <c r="M24" t="s">
        <v>18</v>
      </c>
      <c r="N24" t="s">
        <v>16</v>
      </c>
      <c r="O24" t="s">
        <v>6</v>
      </c>
      <c r="P2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25" spans="1:16" x14ac:dyDescent="0.3">
      <c r="A25">
        <v>5024</v>
      </c>
      <c r="B25">
        <v>25</v>
      </c>
      <c r="C25" t="s">
        <v>17</v>
      </c>
      <c r="D25" t="s">
        <v>40</v>
      </c>
      <c r="E25" s="1">
        <v>0.25</v>
      </c>
      <c r="F25" t="s">
        <v>18</v>
      </c>
      <c r="G25" t="s">
        <v>18</v>
      </c>
      <c r="H25" t="s">
        <v>27</v>
      </c>
      <c r="I25">
        <v>12</v>
      </c>
      <c r="J25" t="s">
        <v>20</v>
      </c>
      <c r="K25" t="s">
        <v>18</v>
      </c>
      <c r="L25" t="s">
        <v>18</v>
      </c>
      <c r="M25" t="s">
        <v>16</v>
      </c>
      <c r="N25" t="s">
        <v>16</v>
      </c>
      <c r="O25" t="s">
        <v>4</v>
      </c>
      <c r="P2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26" spans="1:16" x14ac:dyDescent="0.3">
      <c r="A26">
        <v>5025</v>
      </c>
      <c r="B26">
        <v>19</v>
      </c>
      <c r="C26" t="s">
        <v>17</v>
      </c>
      <c r="D26" t="s">
        <v>40</v>
      </c>
      <c r="E26" s="1">
        <v>0.5</v>
      </c>
      <c r="F26" t="s">
        <v>16</v>
      </c>
      <c r="G26" t="s">
        <v>16</v>
      </c>
      <c r="H26" t="s">
        <v>27</v>
      </c>
      <c r="I26">
        <v>2</v>
      </c>
      <c r="J26" t="s">
        <v>20</v>
      </c>
      <c r="K26" t="s">
        <v>18</v>
      </c>
      <c r="L26" t="s">
        <v>16</v>
      </c>
      <c r="M26" t="s">
        <v>18</v>
      </c>
      <c r="N26" t="s">
        <v>16</v>
      </c>
      <c r="O26" t="s">
        <v>5</v>
      </c>
      <c r="P2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27" spans="1:16" x14ac:dyDescent="0.3">
      <c r="A27">
        <v>5026</v>
      </c>
      <c r="B27">
        <v>20</v>
      </c>
      <c r="C27" t="s">
        <v>17</v>
      </c>
      <c r="D27" t="s">
        <v>40</v>
      </c>
      <c r="E27" s="1">
        <v>0.5</v>
      </c>
      <c r="F27" t="s">
        <v>16</v>
      </c>
      <c r="G27" t="s">
        <v>16</v>
      </c>
      <c r="H27" t="s">
        <v>26</v>
      </c>
      <c r="I27">
        <v>0</v>
      </c>
      <c r="J27" t="s">
        <v>20</v>
      </c>
      <c r="K27" t="s">
        <v>16</v>
      </c>
      <c r="L27" t="s">
        <v>18</v>
      </c>
      <c r="M27" t="s">
        <v>16</v>
      </c>
      <c r="N27" t="s">
        <v>16</v>
      </c>
      <c r="O27" t="s">
        <v>6</v>
      </c>
      <c r="P2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28" spans="1:16" x14ac:dyDescent="0.3">
      <c r="A28">
        <v>5027</v>
      </c>
      <c r="B28">
        <v>20</v>
      </c>
      <c r="C28" t="s">
        <v>17</v>
      </c>
      <c r="D28" t="s">
        <v>40</v>
      </c>
      <c r="E28" s="1">
        <v>0.5</v>
      </c>
      <c r="F28" t="s">
        <v>16</v>
      </c>
      <c r="G28" t="s">
        <v>18</v>
      </c>
      <c r="H28" t="s">
        <v>26</v>
      </c>
      <c r="I28">
        <v>0</v>
      </c>
      <c r="J28" t="s">
        <v>20</v>
      </c>
      <c r="K28" t="s">
        <v>18</v>
      </c>
      <c r="L28" t="s">
        <v>18</v>
      </c>
      <c r="M28" t="s">
        <v>16</v>
      </c>
      <c r="N28" t="s">
        <v>16</v>
      </c>
      <c r="O28" t="s">
        <v>4</v>
      </c>
      <c r="P28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29" spans="1:16" x14ac:dyDescent="0.3">
      <c r="A29">
        <v>5028</v>
      </c>
      <c r="B29">
        <v>18</v>
      </c>
      <c r="C29" t="s">
        <v>17</v>
      </c>
      <c r="D29" t="s">
        <v>27</v>
      </c>
      <c r="E29" s="1">
        <v>0.5</v>
      </c>
      <c r="F29" t="s">
        <v>18</v>
      </c>
      <c r="G29" t="s">
        <v>16</v>
      </c>
      <c r="H29" t="s">
        <v>27</v>
      </c>
      <c r="I29">
        <v>0</v>
      </c>
      <c r="J29" t="s">
        <v>20</v>
      </c>
      <c r="K29" t="s">
        <v>18</v>
      </c>
      <c r="L29" t="s">
        <v>18</v>
      </c>
      <c r="M29" t="s">
        <v>18</v>
      </c>
      <c r="N29" t="s">
        <v>16</v>
      </c>
      <c r="O29" t="s">
        <v>4</v>
      </c>
      <c r="P2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30" spans="1:16" x14ac:dyDescent="0.3">
      <c r="A30">
        <v>5029</v>
      </c>
      <c r="B30">
        <v>24</v>
      </c>
      <c r="C30" t="s">
        <v>17</v>
      </c>
      <c r="D30" t="s">
        <v>40</v>
      </c>
      <c r="E30" s="1">
        <v>0.5</v>
      </c>
      <c r="F30" t="s">
        <v>16</v>
      </c>
      <c r="G30" t="s">
        <v>16</v>
      </c>
      <c r="H30" t="s">
        <v>26</v>
      </c>
      <c r="I30">
        <v>0</v>
      </c>
      <c r="J30" t="s">
        <v>21</v>
      </c>
      <c r="K30" t="s">
        <v>16</v>
      </c>
      <c r="L30" t="s">
        <v>16</v>
      </c>
      <c r="M30" t="s">
        <v>16</v>
      </c>
      <c r="N30" t="s">
        <v>16</v>
      </c>
      <c r="O30" t="s">
        <v>6</v>
      </c>
      <c r="P30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31" spans="1:16" x14ac:dyDescent="0.3">
      <c r="A31">
        <v>5030</v>
      </c>
      <c r="B31">
        <v>19</v>
      </c>
      <c r="C31" t="s">
        <v>17</v>
      </c>
      <c r="D31" t="s">
        <v>39</v>
      </c>
      <c r="E31" s="1">
        <v>0.75</v>
      </c>
      <c r="F31" t="s">
        <v>16</v>
      </c>
      <c r="G31" t="s">
        <v>16</v>
      </c>
      <c r="H31" t="s">
        <v>27</v>
      </c>
      <c r="I31">
        <v>0</v>
      </c>
      <c r="J31" t="s">
        <v>21</v>
      </c>
      <c r="K31" t="s">
        <v>16</v>
      </c>
      <c r="L31" t="s">
        <v>16</v>
      </c>
      <c r="M31" t="s">
        <v>18</v>
      </c>
      <c r="N31" t="s">
        <v>18</v>
      </c>
      <c r="O31" t="s">
        <v>8</v>
      </c>
      <c r="P31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32" spans="1:16" x14ac:dyDescent="0.3">
      <c r="A32">
        <v>5031</v>
      </c>
      <c r="B32">
        <v>19</v>
      </c>
      <c r="C32" t="s">
        <v>17</v>
      </c>
      <c r="D32" t="s">
        <v>40</v>
      </c>
      <c r="E32" s="1">
        <v>1</v>
      </c>
      <c r="F32" t="s">
        <v>18</v>
      </c>
      <c r="G32" t="s">
        <v>18</v>
      </c>
      <c r="H32" t="s">
        <v>26</v>
      </c>
      <c r="I32">
        <v>0</v>
      </c>
      <c r="J32" t="s">
        <v>20</v>
      </c>
      <c r="K32" t="s">
        <v>16</v>
      </c>
      <c r="L32" t="s">
        <v>18</v>
      </c>
      <c r="M32" t="s">
        <v>18</v>
      </c>
      <c r="N32" t="s">
        <v>16</v>
      </c>
      <c r="O32" t="s">
        <v>8</v>
      </c>
      <c r="P3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33" spans="1:16" x14ac:dyDescent="0.3">
      <c r="A33">
        <v>5032</v>
      </c>
      <c r="B33">
        <v>25</v>
      </c>
      <c r="C33" t="s">
        <v>17</v>
      </c>
      <c r="D33" t="s">
        <v>40</v>
      </c>
      <c r="E33" s="1">
        <v>0.5</v>
      </c>
      <c r="F33" t="s">
        <v>18</v>
      </c>
      <c r="G33" t="s">
        <v>16</v>
      </c>
      <c r="H33" t="s">
        <v>27</v>
      </c>
      <c r="I33">
        <v>0</v>
      </c>
      <c r="J33" t="s">
        <v>20</v>
      </c>
      <c r="K33" t="s">
        <v>16</v>
      </c>
      <c r="L33" t="s">
        <v>18</v>
      </c>
      <c r="M33" t="s">
        <v>16</v>
      </c>
      <c r="N33" t="s">
        <v>16</v>
      </c>
      <c r="O33" t="s">
        <v>6</v>
      </c>
      <c r="P33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34" spans="1:16" x14ac:dyDescent="0.3">
      <c r="A34">
        <v>5033</v>
      </c>
      <c r="B34">
        <v>19</v>
      </c>
      <c r="C34" t="s">
        <v>15</v>
      </c>
      <c r="D34" t="s">
        <v>40</v>
      </c>
      <c r="E34" s="1">
        <v>0.5</v>
      </c>
      <c r="F34" t="s">
        <v>16</v>
      </c>
      <c r="G34" t="s">
        <v>16</v>
      </c>
      <c r="H34" t="s">
        <v>27</v>
      </c>
      <c r="I34">
        <v>2</v>
      </c>
      <c r="J34" t="s">
        <v>20</v>
      </c>
      <c r="K34" t="s">
        <v>18</v>
      </c>
      <c r="L34" t="s">
        <v>16</v>
      </c>
      <c r="M34" t="s">
        <v>16</v>
      </c>
      <c r="N34" t="s">
        <v>18</v>
      </c>
      <c r="O34" t="s">
        <v>4</v>
      </c>
      <c r="P3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35" spans="1:16" x14ac:dyDescent="0.3">
      <c r="A35">
        <v>5034</v>
      </c>
      <c r="B35">
        <v>21</v>
      </c>
      <c r="C35" t="s">
        <v>15</v>
      </c>
      <c r="D35" t="s">
        <v>40</v>
      </c>
      <c r="E35" s="1">
        <v>0.5</v>
      </c>
      <c r="F35" t="s">
        <v>18</v>
      </c>
      <c r="G35" t="s">
        <v>16</v>
      </c>
      <c r="H35" t="s">
        <v>26</v>
      </c>
      <c r="I35">
        <v>0</v>
      </c>
      <c r="J35" t="s">
        <v>20</v>
      </c>
      <c r="K35" t="s">
        <v>18</v>
      </c>
      <c r="L35" t="s">
        <v>18</v>
      </c>
      <c r="M35" t="s">
        <v>16</v>
      </c>
      <c r="N35" t="s">
        <v>16</v>
      </c>
      <c r="O35" t="s">
        <v>5</v>
      </c>
      <c r="P3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36" spans="1:16" x14ac:dyDescent="0.3">
      <c r="A36">
        <v>5035</v>
      </c>
      <c r="B36">
        <v>18</v>
      </c>
      <c r="C36" t="s">
        <v>17</v>
      </c>
      <c r="D36" t="s">
        <v>27</v>
      </c>
      <c r="E36" s="1">
        <v>0.5</v>
      </c>
      <c r="F36" t="s">
        <v>16</v>
      </c>
      <c r="G36" t="s">
        <v>16</v>
      </c>
      <c r="H36" t="s">
        <v>26</v>
      </c>
      <c r="I36">
        <v>2</v>
      </c>
      <c r="J36" t="s">
        <v>20</v>
      </c>
      <c r="K36" t="s">
        <v>18</v>
      </c>
      <c r="L36" t="s">
        <v>16</v>
      </c>
      <c r="M36" t="s">
        <v>18</v>
      </c>
      <c r="N36" t="s">
        <v>16</v>
      </c>
      <c r="O36" t="s">
        <v>5</v>
      </c>
      <c r="P3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37" spans="1:16" x14ac:dyDescent="0.3">
      <c r="A37">
        <v>5036</v>
      </c>
      <c r="B37">
        <v>18</v>
      </c>
      <c r="C37" t="s">
        <v>17</v>
      </c>
      <c r="D37" t="s">
        <v>27</v>
      </c>
      <c r="E37" s="1">
        <v>0.75</v>
      </c>
      <c r="F37" t="s">
        <v>16</v>
      </c>
      <c r="G37" t="s">
        <v>16</v>
      </c>
      <c r="H37" t="s">
        <v>27</v>
      </c>
      <c r="I37">
        <v>12</v>
      </c>
      <c r="J37" t="s">
        <v>20</v>
      </c>
      <c r="K37" t="s">
        <v>18</v>
      </c>
      <c r="L37" t="s">
        <v>18</v>
      </c>
      <c r="M37" t="s">
        <v>16</v>
      </c>
      <c r="N37" t="s">
        <v>16</v>
      </c>
      <c r="O37" t="s">
        <v>4</v>
      </c>
      <c r="P3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38" spans="1:16" x14ac:dyDescent="0.3">
      <c r="A38">
        <v>5037</v>
      </c>
      <c r="B38">
        <v>19</v>
      </c>
      <c r="C38" t="s">
        <v>17</v>
      </c>
      <c r="D38" t="s">
        <v>39</v>
      </c>
      <c r="E38" s="1">
        <v>0.75</v>
      </c>
      <c r="F38" t="s">
        <v>18</v>
      </c>
      <c r="G38" t="s">
        <v>16</v>
      </c>
      <c r="H38" t="s">
        <v>26</v>
      </c>
      <c r="I38">
        <v>12</v>
      </c>
      <c r="J38" t="s">
        <v>20</v>
      </c>
      <c r="K38" t="s">
        <v>18</v>
      </c>
      <c r="L38" t="s">
        <v>18</v>
      </c>
      <c r="M38" t="s">
        <v>18</v>
      </c>
      <c r="N38" t="s">
        <v>18</v>
      </c>
      <c r="O38" t="s">
        <v>5</v>
      </c>
      <c r="P38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39" spans="1:16" x14ac:dyDescent="0.3">
      <c r="A39">
        <v>5038</v>
      </c>
      <c r="B39">
        <v>20</v>
      </c>
      <c r="C39" t="s">
        <v>17</v>
      </c>
      <c r="D39" t="s">
        <v>40</v>
      </c>
      <c r="E39" s="1">
        <v>0.5</v>
      </c>
      <c r="F39" t="s">
        <v>18</v>
      </c>
      <c r="G39" t="s">
        <v>18</v>
      </c>
      <c r="H39" t="s">
        <v>26</v>
      </c>
      <c r="I39">
        <v>2</v>
      </c>
      <c r="J39" t="s">
        <v>22</v>
      </c>
      <c r="K39" t="s">
        <v>16</v>
      </c>
      <c r="L39" t="s">
        <v>16</v>
      </c>
      <c r="M39" t="s">
        <v>18</v>
      </c>
      <c r="N39" t="s">
        <v>18</v>
      </c>
      <c r="O39" t="s">
        <v>4</v>
      </c>
      <c r="P3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40" spans="1:16" x14ac:dyDescent="0.3">
      <c r="A40">
        <v>5039</v>
      </c>
      <c r="B40">
        <v>21</v>
      </c>
      <c r="C40" t="s">
        <v>17</v>
      </c>
      <c r="D40" t="s">
        <v>40</v>
      </c>
      <c r="E40" s="1">
        <v>1</v>
      </c>
      <c r="F40" t="s">
        <v>16</v>
      </c>
      <c r="G40" t="s">
        <v>16</v>
      </c>
      <c r="H40" t="s">
        <v>27</v>
      </c>
      <c r="I40">
        <v>0</v>
      </c>
      <c r="J40" t="s">
        <v>20</v>
      </c>
      <c r="K40" t="s">
        <v>18</v>
      </c>
      <c r="L40" t="s">
        <v>16</v>
      </c>
      <c r="M40" t="s">
        <v>18</v>
      </c>
      <c r="N40" t="s">
        <v>18</v>
      </c>
      <c r="O40" t="s">
        <v>5</v>
      </c>
      <c r="P40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41" spans="1:16" x14ac:dyDescent="0.3">
      <c r="A41">
        <v>5040</v>
      </c>
      <c r="B41">
        <v>22</v>
      </c>
      <c r="C41" t="s">
        <v>15</v>
      </c>
      <c r="D41" t="s">
        <v>40</v>
      </c>
      <c r="E41" s="1">
        <v>0.5</v>
      </c>
      <c r="F41" t="s">
        <v>16</v>
      </c>
      <c r="G41" t="s">
        <v>16</v>
      </c>
      <c r="H41" t="s">
        <v>26</v>
      </c>
      <c r="I41">
        <v>0</v>
      </c>
      <c r="J41" t="s">
        <v>20</v>
      </c>
      <c r="K41" t="s">
        <v>16</v>
      </c>
      <c r="L41" t="s">
        <v>18</v>
      </c>
      <c r="M41" t="s">
        <v>18</v>
      </c>
      <c r="N41" t="s">
        <v>18</v>
      </c>
      <c r="O41" t="s">
        <v>4</v>
      </c>
      <c r="P41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42" spans="1:16" x14ac:dyDescent="0.3">
      <c r="A42">
        <v>5041</v>
      </c>
      <c r="B42">
        <v>18</v>
      </c>
      <c r="C42" t="s">
        <v>17</v>
      </c>
      <c r="D42" t="s">
        <v>27</v>
      </c>
      <c r="E42" s="1">
        <v>0.5</v>
      </c>
      <c r="F42" t="s">
        <v>16</v>
      </c>
      <c r="G42" t="s">
        <v>16</v>
      </c>
      <c r="H42" t="s">
        <v>27</v>
      </c>
      <c r="I42">
        <v>2</v>
      </c>
      <c r="J42" t="s">
        <v>20</v>
      </c>
      <c r="K42" t="s">
        <v>18</v>
      </c>
      <c r="L42" t="s">
        <v>16</v>
      </c>
      <c r="M42" t="s">
        <v>18</v>
      </c>
      <c r="N42" t="s">
        <v>18</v>
      </c>
      <c r="O42" t="s">
        <v>4</v>
      </c>
      <c r="P4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43" spans="1:16" x14ac:dyDescent="0.3">
      <c r="A43">
        <v>5042</v>
      </c>
      <c r="B43">
        <v>24</v>
      </c>
      <c r="C43" t="s">
        <v>17</v>
      </c>
      <c r="D43" t="s">
        <v>40</v>
      </c>
      <c r="E43" s="1">
        <v>0.5</v>
      </c>
      <c r="F43" t="s">
        <v>18</v>
      </c>
      <c r="G43" t="s">
        <v>16</v>
      </c>
      <c r="H43" t="s">
        <v>27</v>
      </c>
      <c r="I43">
        <v>2</v>
      </c>
      <c r="J43" t="s">
        <v>20</v>
      </c>
      <c r="K43" t="s">
        <v>16</v>
      </c>
      <c r="L43" t="s">
        <v>18</v>
      </c>
      <c r="M43" t="s">
        <v>16</v>
      </c>
      <c r="N43" t="s">
        <v>18</v>
      </c>
      <c r="O43" t="s">
        <v>4</v>
      </c>
      <c r="P43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44" spans="1:16" x14ac:dyDescent="0.3">
      <c r="A44">
        <v>5043</v>
      </c>
      <c r="B44">
        <v>21</v>
      </c>
      <c r="C44" t="s">
        <v>17</v>
      </c>
      <c r="D44" t="s">
        <v>40</v>
      </c>
      <c r="E44" s="1">
        <v>0.5</v>
      </c>
      <c r="F44" t="s">
        <v>16</v>
      </c>
      <c r="G44" t="s">
        <v>18</v>
      </c>
      <c r="H44" t="s">
        <v>27</v>
      </c>
      <c r="I44">
        <v>0</v>
      </c>
      <c r="J44" t="s">
        <v>21</v>
      </c>
      <c r="K44" t="s">
        <v>16</v>
      </c>
      <c r="L44" t="s">
        <v>18</v>
      </c>
      <c r="M44" t="s">
        <v>16</v>
      </c>
      <c r="N44" t="s">
        <v>18</v>
      </c>
      <c r="O44" t="s">
        <v>4</v>
      </c>
      <c r="P4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45" spans="1:16" x14ac:dyDescent="0.3">
      <c r="A45">
        <v>5044</v>
      </c>
      <c r="B45">
        <v>18</v>
      </c>
      <c r="C45" t="s">
        <v>17</v>
      </c>
      <c r="D45" t="s">
        <v>40</v>
      </c>
      <c r="E45" s="1">
        <v>0.5</v>
      </c>
      <c r="F45" t="s">
        <v>16</v>
      </c>
      <c r="G45" t="s">
        <v>16</v>
      </c>
      <c r="H45" t="s">
        <v>26</v>
      </c>
      <c r="I45">
        <v>0</v>
      </c>
      <c r="J45" t="s">
        <v>20</v>
      </c>
      <c r="K45" t="s">
        <v>18</v>
      </c>
      <c r="L45" t="s">
        <v>16</v>
      </c>
      <c r="M45" t="s">
        <v>18</v>
      </c>
      <c r="N45" t="s">
        <v>16</v>
      </c>
      <c r="O45" t="s">
        <v>7</v>
      </c>
      <c r="P4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46" spans="1:16" x14ac:dyDescent="0.3">
      <c r="A46">
        <v>5045</v>
      </c>
      <c r="B46">
        <v>20</v>
      </c>
      <c r="C46" t="s">
        <v>17</v>
      </c>
      <c r="D46" t="s">
        <v>39</v>
      </c>
      <c r="E46" s="1">
        <v>0.5</v>
      </c>
      <c r="F46" t="s">
        <v>16</v>
      </c>
      <c r="G46" t="s">
        <v>16</v>
      </c>
      <c r="H46" t="s">
        <v>26</v>
      </c>
      <c r="I46">
        <v>0</v>
      </c>
      <c r="J46" t="s">
        <v>20</v>
      </c>
      <c r="K46" t="s">
        <v>18</v>
      </c>
      <c r="L46" t="s">
        <v>18</v>
      </c>
      <c r="M46" t="s">
        <v>18</v>
      </c>
      <c r="N46" t="s">
        <v>18</v>
      </c>
      <c r="O46" t="s">
        <v>4</v>
      </c>
      <c r="P4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47" spans="1:16" x14ac:dyDescent="0.3">
      <c r="A47">
        <v>5046</v>
      </c>
      <c r="B47">
        <v>18</v>
      </c>
      <c r="C47" t="s">
        <v>17</v>
      </c>
      <c r="D47" t="s">
        <v>40</v>
      </c>
      <c r="E47" s="1">
        <v>0.5</v>
      </c>
      <c r="F47" t="s">
        <v>16</v>
      </c>
      <c r="G47" t="s">
        <v>16</v>
      </c>
      <c r="H47" t="s">
        <v>26</v>
      </c>
      <c r="I47">
        <v>8</v>
      </c>
      <c r="J47" t="s">
        <v>20</v>
      </c>
      <c r="K47" t="s">
        <v>18</v>
      </c>
      <c r="L47" t="s">
        <v>16</v>
      </c>
      <c r="M47" t="s">
        <v>18</v>
      </c>
      <c r="N47" t="s">
        <v>16</v>
      </c>
      <c r="O47" t="s">
        <v>6</v>
      </c>
      <c r="P4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48" spans="1:16" x14ac:dyDescent="0.3">
      <c r="A48">
        <v>5047</v>
      </c>
      <c r="B48">
        <v>19</v>
      </c>
      <c r="C48" t="s">
        <v>17</v>
      </c>
      <c r="D48" t="s">
        <v>40</v>
      </c>
      <c r="E48" s="1">
        <v>0.5</v>
      </c>
      <c r="F48" t="s">
        <v>16</v>
      </c>
      <c r="G48" t="s">
        <v>16</v>
      </c>
      <c r="H48" t="s">
        <v>26</v>
      </c>
      <c r="I48">
        <v>0</v>
      </c>
      <c r="J48" t="s">
        <v>20</v>
      </c>
      <c r="K48" t="s">
        <v>18</v>
      </c>
      <c r="L48" t="s">
        <v>18</v>
      </c>
      <c r="M48" t="s">
        <v>16</v>
      </c>
      <c r="N48" t="s">
        <v>16</v>
      </c>
      <c r="O48" t="s">
        <v>8</v>
      </c>
      <c r="P48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49" spans="1:16" x14ac:dyDescent="0.3">
      <c r="A49">
        <v>5048</v>
      </c>
      <c r="B49">
        <v>19</v>
      </c>
      <c r="C49" t="s">
        <v>17</v>
      </c>
      <c r="D49" t="s">
        <v>40</v>
      </c>
      <c r="E49" s="1">
        <v>0.5</v>
      </c>
      <c r="F49" t="s">
        <v>16</v>
      </c>
      <c r="G49" t="s">
        <v>16</v>
      </c>
      <c r="H49" t="s">
        <v>26</v>
      </c>
      <c r="I49">
        <v>0</v>
      </c>
      <c r="J49" t="s">
        <v>20</v>
      </c>
      <c r="K49" t="s">
        <v>16</v>
      </c>
      <c r="L49" t="s">
        <v>18</v>
      </c>
      <c r="M49" t="s">
        <v>18</v>
      </c>
      <c r="N49" t="s">
        <v>18</v>
      </c>
      <c r="O49" t="s">
        <v>6</v>
      </c>
      <c r="P4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50" spans="1:16" x14ac:dyDescent="0.3">
      <c r="A50">
        <v>5049</v>
      </c>
      <c r="B50">
        <v>18</v>
      </c>
      <c r="C50" t="s">
        <v>17</v>
      </c>
      <c r="D50" t="s">
        <v>40</v>
      </c>
      <c r="E50" s="1">
        <v>0.5</v>
      </c>
      <c r="F50" t="s">
        <v>16</v>
      </c>
      <c r="G50" t="s">
        <v>18</v>
      </c>
      <c r="H50" t="s">
        <v>26</v>
      </c>
      <c r="I50">
        <v>0</v>
      </c>
      <c r="J50" t="s">
        <v>20</v>
      </c>
      <c r="K50" t="s">
        <v>16</v>
      </c>
      <c r="L50" t="s">
        <v>16</v>
      </c>
      <c r="M50" t="s">
        <v>18</v>
      </c>
      <c r="N50" t="s">
        <v>16</v>
      </c>
      <c r="O50" t="s">
        <v>4</v>
      </c>
      <c r="P50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51" spans="1:16" x14ac:dyDescent="0.3">
      <c r="A51">
        <v>5050</v>
      </c>
      <c r="B51">
        <v>18</v>
      </c>
      <c r="C51" t="s">
        <v>17</v>
      </c>
      <c r="D51" t="s">
        <v>27</v>
      </c>
      <c r="E51" s="1">
        <v>0.75</v>
      </c>
      <c r="F51" t="s">
        <v>16</v>
      </c>
      <c r="G51" t="s">
        <v>16</v>
      </c>
      <c r="H51" t="s">
        <v>27</v>
      </c>
      <c r="I51">
        <v>2</v>
      </c>
      <c r="J51" t="s">
        <v>21</v>
      </c>
      <c r="K51" t="s">
        <v>18</v>
      </c>
      <c r="L51" t="s">
        <v>16</v>
      </c>
      <c r="M51" t="s">
        <v>18</v>
      </c>
      <c r="N51" t="s">
        <v>18</v>
      </c>
      <c r="O51" t="s">
        <v>5</v>
      </c>
      <c r="P51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52" spans="1:16" x14ac:dyDescent="0.3">
      <c r="A52">
        <v>5051</v>
      </c>
      <c r="B52">
        <v>21</v>
      </c>
      <c r="C52" t="s">
        <v>17</v>
      </c>
      <c r="D52" t="s">
        <v>40</v>
      </c>
      <c r="E52" s="1">
        <v>0.5</v>
      </c>
      <c r="F52" t="s">
        <v>16</v>
      </c>
      <c r="G52" t="s">
        <v>16</v>
      </c>
      <c r="H52" t="s">
        <v>26</v>
      </c>
      <c r="I52">
        <v>2</v>
      </c>
      <c r="J52" t="s">
        <v>22</v>
      </c>
      <c r="K52" t="s">
        <v>18</v>
      </c>
      <c r="L52" t="s">
        <v>18</v>
      </c>
      <c r="M52" t="s">
        <v>18</v>
      </c>
      <c r="N52" t="s">
        <v>18</v>
      </c>
      <c r="O52" t="s">
        <v>4</v>
      </c>
      <c r="P5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53" spans="1:16" x14ac:dyDescent="0.3">
      <c r="A53">
        <v>5052</v>
      </c>
      <c r="B53">
        <v>19</v>
      </c>
      <c r="C53" t="s">
        <v>15</v>
      </c>
      <c r="D53" t="s">
        <v>39</v>
      </c>
      <c r="E53" s="1">
        <v>0.5</v>
      </c>
      <c r="F53" t="s">
        <v>18</v>
      </c>
      <c r="G53" t="s">
        <v>18</v>
      </c>
      <c r="H53" t="s">
        <v>27</v>
      </c>
      <c r="I53">
        <v>0</v>
      </c>
      <c r="J53" t="s">
        <v>20</v>
      </c>
      <c r="K53" t="s">
        <v>18</v>
      </c>
      <c r="L53" t="s">
        <v>18</v>
      </c>
      <c r="M53" t="s">
        <v>16</v>
      </c>
      <c r="N53" t="s">
        <v>16</v>
      </c>
      <c r="O53" t="s">
        <v>7</v>
      </c>
      <c r="P53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54" spans="1:16" x14ac:dyDescent="0.3">
      <c r="A54">
        <v>5053</v>
      </c>
      <c r="B54">
        <v>22</v>
      </c>
      <c r="C54" t="s">
        <v>15</v>
      </c>
      <c r="D54" t="s">
        <v>40</v>
      </c>
      <c r="E54" s="1">
        <v>0.5</v>
      </c>
      <c r="F54" t="s">
        <v>18</v>
      </c>
      <c r="G54" t="s">
        <v>16</v>
      </c>
      <c r="H54" t="s">
        <v>27</v>
      </c>
      <c r="I54">
        <v>2</v>
      </c>
      <c r="J54" t="s">
        <v>20</v>
      </c>
      <c r="K54" t="s">
        <v>18</v>
      </c>
      <c r="L54" t="s">
        <v>18</v>
      </c>
      <c r="M54" t="s">
        <v>18</v>
      </c>
      <c r="N54" t="s">
        <v>16</v>
      </c>
      <c r="O54" t="s">
        <v>4</v>
      </c>
      <c r="P5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55" spans="1:16" x14ac:dyDescent="0.3">
      <c r="A55">
        <v>5054</v>
      </c>
      <c r="B55">
        <v>21</v>
      </c>
      <c r="C55" t="s">
        <v>15</v>
      </c>
      <c r="D55" t="s">
        <v>40</v>
      </c>
      <c r="E55" s="1">
        <v>0.5</v>
      </c>
      <c r="F55" t="s">
        <v>16</v>
      </c>
      <c r="G55" t="s">
        <v>18</v>
      </c>
      <c r="H55" t="s">
        <v>27</v>
      </c>
      <c r="I55">
        <v>2</v>
      </c>
      <c r="J55" t="s">
        <v>20</v>
      </c>
      <c r="K55" t="s">
        <v>18</v>
      </c>
      <c r="L55" t="s">
        <v>18</v>
      </c>
      <c r="M55" t="s">
        <v>18</v>
      </c>
      <c r="N55" t="s">
        <v>16</v>
      </c>
      <c r="O55" t="s">
        <v>8</v>
      </c>
      <c r="P5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56" spans="1:16" x14ac:dyDescent="0.3">
      <c r="A56">
        <v>5055</v>
      </c>
      <c r="B56">
        <v>21</v>
      </c>
      <c r="C56" t="s">
        <v>17</v>
      </c>
      <c r="D56" t="s">
        <v>40</v>
      </c>
      <c r="E56" s="1">
        <v>0.5</v>
      </c>
      <c r="F56" t="s">
        <v>16</v>
      </c>
      <c r="G56" t="s">
        <v>16</v>
      </c>
      <c r="H56" t="s">
        <v>27</v>
      </c>
      <c r="I56">
        <v>12</v>
      </c>
      <c r="J56" t="s">
        <v>21</v>
      </c>
      <c r="K56" t="s">
        <v>16</v>
      </c>
      <c r="L56" t="s">
        <v>18</v>
      </c>
      <c r="M56" t="s">
        <v>16</v>
      </c>
      <c r="N56" t="s">
        <v>18</v>
      </c>
      <c r="O56" t="s">
        <v>6</v>
      </c>
      <c r="P5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57" spans="1:16" x14ac:dyDescent="0.3">
      <c r="A57">
        <v>5056</v>
      </c>
      <c r="B57">
        <v>25</v>
      </c>
      <c r="C57" t="s">
        <v>17</v>
      </c>
      <c r="D57" t="s">
        <v>40</v>
      </c>
      <c r="E57" s="1">
        <v>0.5</v>
      </c>
      <c r="F57" t="s">
        <v>18</v>
      </c>
      <c r="G57" t="s">
        <v>16</v>
      </c>
      <c r="H57" t="s">
        <v>26</v>
      </c>
      <c r="I57">
        <v>8</v>
      </c>
      <c r="J57" t="s">
        <v>20</v>
      </c>
      <c r="K57" t="s">
        <v>16</v>
      </c>
      <c r="L57" t="s">
        <v>18</v>
      </c>
      <c r="M57" t="s">
        <v>18</v>
      </c>
      <c r="N57" t="s">
        <v>16</v>
      </c>
      <c r="O57" t="s">
        <v>6</v>
      </c>
      <c r="P5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58" spans="1:16" x14ac:dyDescent="0.3">
      <c r="A58">
        <v>5057</v>
      </c>
      <c r="B58">
        <v>20</v>
      </c>
      <c r="C58" t="s">
        <v>17</v>
      </c>
      <c r="D58" t="s">
        <v>40</v>
      </c>
      <c r="E58" s="1">
        <v>0.5</v>
      </c>
      <c r="F58" t="s">
        <v>16</v>
      </c>
      <c r="G58" t="s">
        <v>18</v>
      </c>
      <c r="H58" t="s">
        <v>27</v>
      </c>
      <c r="I58">
        <v>0</v>
      </c>
      <c r="J58" t="s">
        <v>20</v>
      </c>
      <c r="K58" t="s">
        <v>18</v>
      </c>
      <c r="L58" t="s">
        <v>18</v>
      </c>
      <c r="M58" t="s">
        <v>18</v>
      </c>
      <c r="N58" t="s">
        <v>16</v>
      </c>
      <c r="O58" t="s">
        <v>8</v>
      </c>
      <c r="P58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59" spans="1:16" x14ac:dyDescent="0.3">
      <c r="A59">
        <v>5058</v>
      </c>
      <c r="B59">
        <v>21</v>
      </c>
      <c r="C59" t="s">
        <v>17</v>
      </c>
      <c r="D59" t="s">
        <v>40</v>
      </c>
      <c r="E59" s="1">
        <v>0.5</v>
      </c>
      <c r="F59" t="s">
        <v>18</v>
      </c>
      <c r="G59" t="s">
        <v>18</v>
      </c>
      <c r="H59" t="s">
        <v>27</v>
      </c>
      <c r="I59">
        <v>0</v>
      </c>
      <c r="J59" t="s">
        <v>20</v>
      </c>
      <c r="K59" t="s">
        <v>18</v>
      </c>
      <c r="L59" t="s">
        <v>18</v>
      </c>
      <c r="M59" t="s">
        <v>16</v>
      </c>
      <c r="N59" t="s">
        <v>16</v>
      </c>
      <c r="O59" t="s">
        <v>7</v>
      </c>
      <c r="P5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60" spans="1:16" x14ac:dyDescent="0.3">
      <c r="A60">
        <v>5059</v>
      </c>
      <c r="B60">
        <v>23</v>
      </c>
      <c r="C60" t="s">
        <v>17</v>
      </c>
      <c r="D60" t="s">
        <v>40</v>
      </c>
      <c r="E60" s="1">
        <v>0.5</v>
      </c>
      <c r="F60" t="s">
        <v>16</v>
      </c>
      <c r="G60" t="s">
        <v>16</v>
      </c>
      <c r="H60" t="s">
        <v>26</v>
      </c>
      <c r="I60">
        <v>12</v>
      </c>
      <c r="J60" t="s">
        <v>20</v>
      </c>
      <c r="K60" t="s">
        <v>18</v>
      </c>
      <c r="L60" t="s">
        <v>18</v>
      </c>
      <c r="M60" t="s">
        <v>18</v>
      </c>
      <c r="N60" t="s">
        <v>16</v>
      </c>
      <c r="O60" t="s">
        <v>6</v>
      </c>
      <c r="P60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61" spans="1:16" x14ac:dyDescent="0.3">
      <c r="A61">
        <v>5060</v>
      </c>
      <c r="B61">
        <v>19</v>
      </c>
      <c r="C61" t="s">
        <v>17</v>
      </c>
      <c r="D61" t="s">
        <v>40</v>
      </c>
      <c r="E61" s="1">
        <v>0.5</v>
      </c>
      <c r="F61" t="s">
        <v>16</v>
      </c>
      <c r="G61" t="s">
        <v>18</v>
      </c>
      <c r="H61" t="s">
        <v>26</v>
      </c>
      <c r="I61">
        <v>0</v>
      </c>
      <c r="J61" t="s">
        <v>20</v>
      </c>
      <c r="K61" t="s">
        <v>18</v>
      </c>
      <c r="L61" t="s">
        <v>18</v>
      </c>
      <c r="M61" t="s">
        <v>16</v>
      </c>
      <c r="N61" t="s">
        <v>16</v>
      </c>
      <c r="O61" t="s">
        <v>8</v>
      </c>
      <c r="P61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62" spans="1:16" x14ac:dyDescent="0.3">
      <c r="A62">
        <v>5061</v>
      </c>
      <c r="B62">
        <v>19</v>
      </c>
      <c r="C62" t="s">
        <v>15</v>
      </c>
      <c r="D62" t="s">
        <v>40</v>
      </c>
      <c r="E62" s="1">
        <v>0.5</v>
      </c>
      <c r="F62" t="s">
        <v>16</v>
      </c>
      <c r="G62" t="s">
        <v>16</v>
      </c>
      <c r="H62" t="s">
        <v>27</v>
      </c>
      <c r="I62">
        <v>12</v>
      </c>
      <c r="J62" t="s">
        <v>22</v>
      </c>
      <c r="K62" t="s">
        <v>18</v>
      </c>
      <c r="L62" t="s">
        <v>18</v>
      </c>
      <c r="M62" t="s">
        <v>18</v>
      </c>
      <c r="N62" t="s">
        <v>16</v>
      </c>
      <c r="O62" t="s">
        <v>5</v>
      </c>
      <c r="P6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63" spans="1:16" x14ac:dyDescent="0.3">
      <c r="A63">
        <v>5062</v>
      </c>
      <c r="B63">
        <v>18</v>
      </c>
      <c r="C63" t="s">
        <v>17</v>
      </c>
      <c r="D63" t="s">
        <v>39</v>
      </c>
      <c r="E63" s="1">
        <v>0.5</v>
      </c>
      <c r="F63" t="s">
        <v>16</v>
      </c>
      <c r="G63" t="s">
        <v>18</v>
      </c>
      <c r="H63" t="s">
        <v>27</v>
      </c>
      <c r="I63">
        <v>2</v>
      </c>
      <c r="J63" t="s">
        <v>20</v>
      </c>
      <c r="K63" t="s">
        <v>16</v>
      </c>
      <c r="L63" t="s">
        <v>18</v>
      </c>
      <c r="M63" t="s">
        <v>18</v>
      </c>
      <c r="N63" t="s">
        <v>16</v>
      </c>
      <c r="O63" t="s">
        <v>8</v>
      </c>
      <c r="P63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64" spans="1:16" x14ac:dyDescent="0.3">
      <c r="A64">
        <v>5063</v>
      </c>
      <c r="B64">
        <v>21</v>
      </c>
      <c r="C64" t="s">
        <v>17</v>
      </c>
      <c r="D64" t="s">
        <v>40</v>
      </c>
      <c r="E64" s="1">
        <v>0.5</v>
      </c>
      <c r="F64" t="s">
        <v>16</v>
      </c>
      <c r="G64" t="s">
        <v>16</v>
      </c>
      <c r="H64" t="s">
        <v>27</v>
      </c>
      <c r="I64">
        <v>0</v>
      </c>
      <c r="J64" t="s">
        <v>21</v>
      </c>
      <c r="K64" t="s">
        <v>16</v>
      </c>
      <c r="L64" t="s">
        <v>16</v>
      </c>
      <c r="M64" t="s">
        <v>18</v>
      </c>
      <c r="N64" t="s">
        <v>18</v>
      </c>
      <c r="O64" t="s">
        <v>6</v>
      </c>
      <c r="P6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65" spans="1:16" x14ac:dyDescent="0.3">
      <c r="A65">
        <v>5064</v>
      </c>
      <c r="B65">
        <v>22</v>
      </c>
      <c r="C65" t="s">
        <v>17</v>
      </c>
      <c r="D65" t="s">
        <v>40</v>
      </c>
      <c r="E65" s="1">
        <v>0.75</v>
      </c>
      <c r="F65" t="s">
        <v>16</v>
      </c>
      <c r="G65" t="s">
        <v>16</v>
      </c>
      <c r="H65" t="s">
        <v>26</v>
      </c>
      <c r="I65">
        <v>2</v>
      </c>
      <c r="J65" t="s">
        <v>20</v>
      </c>
      <c r="K65" t="s">
        <v>18</v>
      </c>
      <c r="L65" t="s">
        <v>18</v>
      </c>
      <c r="M65" t="s">
        <v>18</v>
      </c>
      <c r="N65" t="s">
        <v>16</v>
      </c>
      <c r="O65" t="s">
        <v>8</v>
      </c>
      <c r="P6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66" spans="1:16" x14ac:dyDescent="0.3">
      <c r="A66">
        <v>5065</v>
      </c>
      <c r="B66">
        <v>22</v>
      </c>
      <c r="C66" t="s">
        <v>17</v>
      </c>
      <c r="D66" t="s">
        <v>39</v>
      </c>
      <c r="E66" s="1">
        <v>1</v>
      </c>
      <c r="F66" t="s">
        <v>16</v>
      </c>
      <c r="G66" t="s">
        <v>16</v>
      </c>
      <c r="H66" t="s">
        <v>27</v>
      </c>
      <c r="I66">
        <v>0</v>
      </c>
      <c r="J66" t="s">
        <v>20</v>
      </c>
      <c r="K66" t="s">
        <v>18</v>
      </c>
      <c r="L66" t="s">
        <v>16</v>
      </c>
      <c r="M66" t="s">
        <v>16</v>
      </c>
      <c r="N66" t="s">
        <v>18</v>
      </c>
      <c r="O66" t="s">
        <v>6</v>
      </c>
      <c r="P6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67" spans="1:16" x14ac:dyDescent="0.3">
      <c r="A67">
        <v>5066</v>
      </c>
      <c r="B67">
        <v>18</v>
      </c>
      <c r="C67" t="s">
        <v>17</v>
      </c>
      <c r="D67" t="s">
        <v>40</v>
      </c>
      <c r="E67" s="1">
        <v>0.5</v>
      </c>
      <c r="F67" t="s">
        <v>16</v>
      </c>
      <c r="G67" t="s">
        <v>16</v>
      </c>
      <c r="H67" t="s">
        <v>26</v>
      </c>
      <c r="I67">
        <v>12</v>
      </c>
      <c r="J67" t="s">
        <v>20</v>
      </c>
      <c r="K67" t="s">
        <v>18</v>
      </c>
      <c r="L67" t="s">
        <v>16</v>
      </c>
      <c r="M67" t="s">
        <v>16</v>
      </c>
      <c r="N67" t="s">
        <v>16</v>
      </c>
      <c r="O67" t="s">
        <v>5</v>
      </c>
      <c r="P6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68" spans="1:16" x14ac:dyDescent="0.3">
      <c r="A68">
        <v>5067</v>
      </c>
      <c r="B68">
        <v>22</v>
      </c>
      <c r="C68" t="s">
        <v>17</v>
      </c>
      <c r="D68" t="s">
        <v>40</v>
      </c>
      <c r="E68" s="1">
        <v>0.5</v>
      </c>
      <c r="F68" t="s">
        <v>16</v>
      </c>
      <c r="G68" t="s">
        <v>16</v>
      </c>
      <c r="H68" t="s">
        <v>26</v>
      </c>
      <c r="I68">
        <v>0</v>
      </c>
      <c r="J68" t="s">
        <v>20</v>
      </c>
      <c r="K68" t="s">
        <v>18</v>
      </c>
      <c r="L68" t="s">
        <v>16</v>
      </c>
      <c r="M68" t="s">
        <v>16</v>
      </c>
      <c r="N68" t="s">
        <v>16</v>
      </c>
      <c r="O68" t="s">
        <v>8</v>
      </c>
      <c r="P68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69" spans="1:16" x14ac:dyDescent="0.3">
      <c r="A69">
        <v>5068</v>
      </c>
      <c r="B69">
        <v>19</v>
      </c>
      <c r="C69" t="s">
        <v>17</v>
      </c>
      <c r="D69" t="s">
        <v>39</v>
      </c>
      <c r="E69" s="1">
        <v>0.5</v>
      </c>
      <c r="F69" t="s">
        <v>18</v>
      </c>
      <c r="G69" t="s">
        <v>18</v>
      </c>
      <c r="H69" t="s">
        <v>27</v>
      </c>
      <c r="I69">
        <v>12</v>
      </c>
      <c r="J69" t="s">
        <v>20</v>
      </c>
      <c r="K69" t="s">
        <v>16</v>
      </c>
      <c r="L69" t="s">
        <v>16</v>
      </c>
      <c r="M69" t="s">
        <v>16</v>
      </c>
      <c r="N69" t="s">
        <v>16</v>
      </c>
      <c r="O69" t="s">
        <v>4</v>
      </c>
      <c r="P6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70" spans="1:16" x14ac:dyDescent="0.3">
      <c r="A70">
        <v>5069</v>
      </c>
      <c r="B70">
        <v>19</v>
      </c>
      <c r="C70" t="s">
        <v>15</v>
      </c>
      <c r="D70" t="s">
        <v>40</v>
      </c>
      <c r="E70" s="1">
        <v>0.75</v>
      </c>
      <c r="F70" t="s">
        <v>18</v>
      </c>
      <c r="G70" t="s">
        <v>16</v>
      </c>
      <c r="H70" t="s">
        <v>27</v>
      </c>
      <c r="I70">
        <v>0</v>
      </c>
      <c r="J70" t="s">
        <v>20</v>
      </c>
      <c r="K70" t="s">
        <v>18</v>
      </c>
      <c r="L70" t="s">
        <v>16</v>
      </c>
      <c r="M70" t="s">
        <v>18</v>
      </c>
      <c r="N70" t="s">
        <v>16</v>
      </c>
      <c r="O70" t="s">
        <v>8</v>
      </c>
      <c r="P70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71" spans="1:16" x14ac:dyDescent="0.3">
      <c r="A71">
        <v>5070</v>
      </c>
      <c r="B71">
        <v>21</v>
      </c>
      <c r="C71" t="s">
        <v>15</v>
      </c>
      <c r="D71" t="s">
        <v>40</v>
      </c>
      <c r="E71" s="1">
        <v>0.75</v>
      </c>
      <c r="F71" t="s">
        <v>16</v>
      </c>
      <c r="G71" t="s">
        <v>16</v>
      </c>
      <c r="H71" t="s">
        <v>26</v>
      </c>
      <c r="I71">
        <v>0</v>
      </c>
      <c r="J71" t="s">
        <v>20</v>
      </c>
      <c r="K71" t="s">
        <v>18</v>
      </c>
      <c r="L71" t="s">
        <v>16</v>
      </c>
      <c r="M71" t="s">
        <v>16</v>
      </c>
      <c r="N71" t="s">
        <v>18</v>
      </c>
      <c r="O71" t="s">
        <v>8</v>
      </c>
      <c r="P71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72" spans="1:16" x14ac:dyDescent="0.3">
      <c r="A72">
        <v>5071</v>
      </c>
      <c r="B72">
        <v>18</v>
      </c>
      <c r="C72" t="s">
        <v>17</v>
      </c>
      <c r="D72" t="s">
        <v>40</v>
      </c>
      <c r="E72" s="1">
        <v>0.75</v>
      </c>
      <c r="F72" t="s">
        <v>16</v>
      </c>
      <c r="G72" t="s">
        <v>18</v>
      </c>
      <c r="H72" t="s">
        <v>26</v>
      </c>
      <c r="I72">
        <v>0</v>
      </c>
      <c r="J72" t="s">
        <v>20</v>
      </c>
      <c r="K72" t="s">
        <v>18</v>
      </c>
      <c r="L72" t="s">
        <v>18</v>
      </c>
      <c r="M72" t="s">
        <v>18</v>
      </c>
      <c r="N72" t="s">
        <v>18</v>
      </c>
      <c r="O72" t="s">
        <v>10</v>
      </c>
      <c r="P7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73" spans="1:16" x14ac:dyDescent="0.3">
      <c r="A73">
        <v>5072</v>
      </c>
      <c r="B73">
        <v>18</v>
      </c>
      <c r="C73" t="s">
        <v>15</v>
      </c>
      <c r="D73" t="s">
        <v>39</v>
      </c>
      <c r="E73" s="1">
        <v>0.75</v>
      </c>
      <c r="F73" t="s">
        <v>16</v>
      </c>
      <c r="G73" t="s">
        <v>16</v>
      </c>
      <c r="H73" t="s">
        <v>27</v>
      </c>
      <c r="I73">
        <v>0</v>
      </c>
      <c r="J73" t="s">
        <v>20</v>
      </c>
      <c r="K73" t="s">
        <v>16</v>
      </c>
      <c r="L73" t="s">
        <v>18</v>
      </c>
      <c r="M73" t="s">
        <v>18</v>
      </c>
      <c r="N73" t="s">
        <v>16</v>
      </c>
      <c r="O73" t="s">
        <v>9</v>
      </c>
      <c r="P73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74" spans="1:16" x14ac:dyDescent="0.3">
      <c r="A74">
        <v>5073</v>
      </c>
      <c r="B74">
        <v>18</v>
      </c>
      <c r="C74" t="s">
        <v>17</v>
      </c>
      <c r="D74" t="s">
        <v>40</v>
      </c>
      <c r="E74" s="1">
        <v>0.5</v>
      </c>
      <c r="F74" t="s">
        <v>16</v>
      </c>
      <c r="G74" t="s">
        <v>18</v>
      </c>
      <c r="H74" t="s">
        <v>26</v>
      </c>
      <c r="I74">
        <v>0</v>
      </c>
      <c r="J74" t="s">
        <v>20</v>
      </c>
      <c r="K74" t="s">
        <v>16</v>
      </c>
      <c r="L74" t="s">
        <v>18</v>
      </c>
      <c r="M74" t="s">
        <v>18</v>
      </c>
      <c r="N74" t="s">
        <v>18</v>
      </c>
      <c r="O74" t="s">
        <v>9</v>
      </c>
      <c r="P7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75" spans="1:16" x14ac:dyDescent="0.3">
      <c r="A75">
        <v>5074</v>
      </c>
      <c r="B75">
        <v>21</v>
      </c>
      <c r="C75" t="s">
        <v>17</v>
      </c>
      <c r="D75" t="s">
        <v>40</v>
      </c>
      <c r="E75" s="1">
        <v>0.75</v>
      </c>
      <c r="F75" t="s">
        <v>16</v>
      </c>
      <c r="G75" t="s">
        <v>16</v>
      </c>
      <c r="H75" t="s">
        <v>27</v>
      </c>
      <c r="I75">
        <v>0</v>
      </c>
      <c r="J75" t="s">
        <v>20</v>
      </c>
      <c r="K75" t="s">
        <v>16</v>
      </c>
      <c r="L75" t="s">
        <v>18</v>
      </c>
      <c r="M75" t="s">
        <v>18</v>
      </c>
      <c r="N75" t="s">
        <v>16</v>
      </c>
      <c r="O75" t="s">
        <v>9</v>
      </c>
      <c r="P7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76" spans="1:16" x14ac:dyDescent="0.3">
      <c r="A76">
        <v>5075</v>
      </c>
      <c r="B76">
        <v>18</v>
      </c>
      <c r="C76" t="s">
        <v>17</v>
      </c>
      <c r="D76" t="s">
        <v>40</v>
      </c>
      <c r="E76" s="1">
        <v>0.75</v>
      </c>
      <c r="F76" t="s">
        <v>16</v>
      </c>
      <c r="G76" t="s">
        <v>16</v>
      </c>
      <c r="H76" t="s">
        <v>27</v>
      </c>
      <c r="I76">
        <v>0</v>
      </c>
      <c r="J76" t="s">
        <v>20</v>
      </c>
      <c r="K76" t="s">
        <v>18</v>
      </c>
      <c r="L76" t="s">
        <v>16</v>
      </c>
      <c r="M76" t="s">
        <v>16</v>
      </c>
      <c r="N76" t="s">
        <v>16</v>
      </c>
      <c r="O76" t="s">
        <v>10</v>
      </c>
      <c r="P7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77" spans="1:16" x14ac:dyDescent="0.3">
      <c r="A77">
        <v>5076</v>
      </c>
      <c r="B77">
        <v>18</v>
      </c>
      <c r="C77" t="s">
        <v>17</v>
      </c>
      <c r="D77" t="s">
        <v>40</v>
      </c>
      <c r="E77" s="1">
        <v>0.75</v>
      </c>
      <c r="F77" t="s">
        <v>16</v>
      </c>
      <c r="G77" t="s">
        <v>18</v>
      </c>
      <c r="H77" t="s">
        <v>27</v>
      </c>
      <c r="I77">
        <v>0</v>
      </c>
      <c r="J77" t="s">
        <v>20</v>
      </c>
      <c r="K77" t="s">
        <v>16</v>
      </c>
      <c r="L77" t="s">
        <v>18</v>
      </c>
      <c r="M77" t="s">
        <v>16</v>
      </c>
      <c r="N77" t="s">
        <v>16</v>
      </c>
      <c r="O77" t="s">
        <v>10</v>
      </c>
      <c r="P7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78" spans="1:16" x14ac:dyDescent="0.3">
      <c r="A78">
        <v>5077</v>
      </c>
      <c r="B78">
        <v>20</v>
      </c>
      <c r="C78" t="s">
        <v>17</v>
      </c>
      <c r="D78" t="s">
        <v>27</v>
      </c>
      <c r="E78" s="1">
        <v>0.25</v>
      </c>
      <c r="F78" t="s">
        <v>16</v>
      </c>
      <c r="G78" t="s">
        <v>18</v>
      </c>
      <c r="H78" t="s">
        <v>27</v>
      </c>
      <c r="I78">
        <v>2</v>
      </c>
      <c r="J78" t="s">
        <v>20</v>
      </c>
      <c r="K78" t="s">
        <v>18</v>
      </c>
      <c r="L78" t="s">
        <v>18</v>
      </c>
      <c r="M78" t="s">
        <v>16</v>
      </c>
      <c r="N78" t="s">
        <v>16</v>
      </c>
      <c r="O78" t="s">
        <v>7</v>
      </c>
      <c r="P78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79" spans="1:16" x14ac:dyDescent="0.3">
      <c r="A79">
        <v>5078</v>
      </c>
      <c r="B79">
        <v>18</v>
      </c>
      <c r="C79" t="s">
        <v>17</v>
      </c>
      <c r="D79" t="s">
        <v>27</v>
      </c>
      <c r="E79" s="1">
        <v>0.25</v>
      </c>
      <c r="F79" t="s">
        <v>16</v>
      </c>
      <c r="G79" t="s">
        <v>16</v>
      </c>
      <c r="H79" t="s">
        <v>26</v>
      </c>
      <c r="I79">
        <v>2</v>
      </c>
      <c r="J79" t="s">
        <v>22</v>
      </c>
      <c r="K79" t="s">
        <v>16</v>
      </c>
      <c r="L79" t="s">
        <v>16</v>
      </c>
      <c r="M79" t="s">
        <v>16</v>
      </c>
      <c r="N79" t="s">
        <v>18</v>
      </c>
      <c r="O79" t="s">
        <v>10</v>
      </c>
      <c r="P7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80" spans="1:16" x14ac:dyDescent="0.3">
      <c r="A80">
        <v>5079</v>
      </c>
      <c r="B80">
        <v>19</v>
      </c>
      <c r="C80" t="s">
        <v>15</v>
      </c>
      <c r="D80" t="s">
        <v>40</v>
      </c>
      <c r="E80" s="1">
        <v>0.75</v>
      </c>
      <c r="F80" t="s">
        <v>18</v>
      </c>
      <c r="G80" t="s">
        <v>18</v>
      </c>
      <c r="H80" t="s">
        <v>27</v>
      </c>
      <c r="I80">
        <v>0</v>
      </c>
      <c r="J80" t="s">
        <v>20</v>
      </c>
      <c r="K80" t="s">
        <v>18</v>
      </c>
      <c r="L80" t="s">
        <v>18</v>
      </c>
      <c r="M80" t="s">
        <v>18</v>
      </c>
      <c r="N80" t="s">
        <v>16</v>
      </c>
      <c r="O80" t="s">
        <v>7</v>
      </c>
      <c r="P80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81" spans="1:16" x14ac:dyDescent="0.3">
      <c r="A81">
        <v>5080</v>
      </c>
      <c r="B81">
        <v>19</v>
      </c>
      <c r="C81" t="s">
        <v>17</v>
      </c>
      <c r="D81" t="s">
        <v>40</v>
      </c>
      <c r="E81" s="1">
        <v>0.75</v>
      </c>
      <c r="F81" t="s">
        <v>16</v>
      </c>
      <c r="G81" t="s">
        <v>16</v>
      </c>
      <c r="H81" t="s">
        <v>27</v>
      </c>
      <c r="I81">
        <v>0</v>
      </c>
      <c r="J81" t="s">
        <v>20</v>
      </c>
      <c r="K81" t="s">
        <v>18</v>
      </c>
      <c r="L81" t="s">
        <v>18</v>
      </c>
      <c r="M81" t="s">
        <v>18</v>
      </c>
      <c r="N81" t="s">
        <v>16</v>
      </c>
      <c r="O81" t="s">
        <v>6</v>
      </c>
      <c r="P81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82" spans="1:16" x14ac:dyDescent="0.3">
      <c r="A82">
        <v>5081</v>
      </c>
      <c r="B82">
        <v>20</v>
      </c>
      <c r="C82" t="s">
        <v>15</v>
      </c>
      <c r="D82" t="s">
        <v>40</v>
      </c>
      <c r="E82" s="1">
        <v>0.5</v>
      </c>
      <c r="F82" t="s">
        <v>18</v>
      </c>
      <c r="G82" t="s">
        <v>16</v>
      </c>
      <c r="H82" t="s">
        <v>26</v>
      </c>
      <c r="I82">
        <v>0</v>
      </c>
      <c r="J82" t="s">
        <v>22</v>
      </c>
      <c r="K82" t="s">
        <v>18</v>
      </c>
      <c r="L82" t="s">
        <v>18</v>
      </c>
      <c r="M82" t="s">
        <v>18</v>
      </c>
      <c r="N82" t="s">
        <v>18</v>
      </c>
      <c r="O82" t="s">
        <v>7</v>
      </c>
      <c r="P8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83" spans="1:16" x14ac:dyDescent="0.3">
      <c r="A83">
        <v>5082</v>
      </c>
      <c r="B83">
        <v>24</v>
      </c>
      <c r="C83" t="s">
        <v>17</v>
      </c>
      <c r="D83" t="s">
        <v>40</v>
      </c>
      <c r="E83" s="1">
        <v>0.5</v>
      </c>
      <c r="F83" t="s">
        <v>18</v>
      </c>
      <c r="G83" t="s">
        <v>16</v>
      </c>
      <c r="H83" t="s">
        <v>27</v>
      </c>
      <c r="I83">
        <v>0</v>
      </c>
      <c r="J83" t="s">
        <v>20</v>
      </c>
      <c r="K83" t="s">
        <v>16</v>
      </c>
      <c r="L83" t="s">
        <v>18</v>
      </c>
      <c r="M83" t="s">
        <v>16</v>
      </c>
      <c r="N83" t="s">
        <v>16</v>
      </c>
      <c r="O83" t="s">
        <v>6</v>
      </c>
      <c r="P83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84" spans="1:16" x14ac:dyDescent="0.3">
      <c r="A84">
        <v>5083</v>
      </c>
      <c r="B84">
        <v>20</v>
      </c>
      <c r="C84" t="s">
        <v>17</v>
      </c>
      <c r="D84" t="s">
        <v>40</v>
      </c>
      <c r="E84" s="1">
        <v>0.75</v>
      </c>
      <c r="F84" t="s">
        <v>18</v>
      </c>
      <c r="G84" t="s">
        <v>16</v>
      </c>
      <c r="H84" t="s">
        <v>26</v>
      </c>
      <c r="I84">
        <v>2</v>
      </c>
      <c r="J84" t="s">
        <v>20</v>
      </c>
      <c r="K84" t="s">
        <v>18</v>
      </c>
      <c r="L84" t="s">
        <v>16</v>
      </c>
      <c r="M84" t="s">
        <v>18</v>
      </c>
      <c r="N84" t="s">
        <v>16</v>
      </c>
      <c r="O84" t="s">
        <v>10</v>
      </c>
      <c r="P8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85" spans="1:16" x14ac:dyDescent="0.3">
      <c r="A85">
        <v>5084</v>
      </c>
      <c r="B85">
        <v>21</v>
      </c>
      <c r="C85" t="s">
        <v>17</v>
      </c>
      <c r="D85" t="s">
        <v>39</v>
      </c>
      <c r="E85" s="1">
        <v>0.5</v>
      </c>
      <c r="F85" t="s">
        <v>16</v>
      </c>
      <c r="G85" t="s">
        <v>16</v>
      </c>
      <c r="H85" t="s">
        <v>27</v>
      </c>
      <c r="I85">
        <v>12</v>
      </c>
      <c r="J85" t="s">
        <v>20</v>
      </c>
      <c r="K85" t="s">
        <v>18</v>
      </c>
      <c r="L85" t="s">
        <v>18</v>
      </c>
      <c r="M85" t="s">
        <v>16</v>
      </c>
      <c r="N85" t="s">
        <v>18</v>
      </c>
      <c r="O85" t="s">
        <v>10</v>
      </c>
      <c r="P8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86" spans="1:16" x14ac:dyDescent="0.3">
      <c r="A86">
        <v>5085</v>
      </c>
      <c r="B86">
        <v>24</v>
      </c>
      <c r="C86" t="s">
        <v>17</v>
      </c>
      <c r="D86" t="s">
        <v>39</v>
      </c>
      <c r="E86" s="1">
        <v>0.5</v>
      </c>
      <c r="F86" t="s">
        <v>18</v>
      </c>
      <c r="G86" t="s">
        <v>16</v>
      </c>
      <c r="H86" t="s">
        <v>26</v>
      </c>
      <c r="I86">
        <v>12</v>
      </c>
      <c r="J86" t="s">
        <v>20</v>
      </c>
      <c r="K86" t="s">
        <v>16</v>
      </c>
      <c r="L86" t="s">
        <v>18</v>
      </c>
      <c r="M86" t="s">
        <v>16</v>
      </c>
      <c r="N86" t="s">
        <v>16</v>
      </c>
      <c r="O86" t="s">
        <v>10</v>
      </c>
      <c r="P8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87" spans="1:16" x14ac:dyDescent="0.3">
      <c r="A87">
        <v>5086</v>
      </c>
      <c r="B87">
        <v>18</v>
      </c>
      <c r="C87" t="s">
        <v>17</v>
      </c>
      <c r="D87" t="s">
        <v>40</v>
      </c>
      <c r="E87" s="1">
        <v>1</v>
      </c>
      <c r="F87" t="s">
        <v>16</v>
      </c>
      <c r="G87" t="s">
        <v>16</v>
      </c>
      <c r="H87" t="s">
        <v>27</v>
      </c>
      <c r="I87">
        <v>2</v>
      </c>
      <c r="J87" t="s">
        <v>20</v>
      </c>
      <c r="K87" t="s">
        <v>18</v>
      </c>
      <c r="L87" t="s">
        <v>18</v>
      </c>
      <c r="M87" t="s">
        <v>18</v>
      </c>
      <c r="N87" t="s">
        <v>16</v>
      </c>
      <c r="O87" t="s">
        <v>7</v>
      </c>
      <c r="P8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88" spans="1:16" x14ac:dyDescent="0.3">
      <c r="A88">
        <v>5087</v>
      </c>
      <c r="B88">
        <v>21</v>
      </c>
      <c r="C88" t="s">
        <v>17</v>
      </c>
      <c r="D88" t="s">
        <v>40</v>
      </c>
      <c r="E88" s="1">
        <v>0.75</v>
      </c>
      <c r="F88" t="s">
        <v>16</v>
      </c>
      <c r="G88" t="s">
        <v>16</v>
      </c>
      <c r="H88" t="s">
        <v>27</v>
      </c>
      <c r="I88">
        <v>0</v>
      </c>
      <c r="J88" t="s">
        <v>21</v>
      </c>
      <c r="K88" t="s">
        <v>16</v>
      </c>
      <c r="L88" t="s">
        <v>16</v>
      </c>
      <c r="M88" t="s">
        <v>18</v>
      </c>
      <c r="N88" t="s">
        <v>18</v>
      </c>
      <c r="O88" t="s">
        <v>8</v>
      </c>
      <c r="P88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89" spans="1:16" x14ac:dyDescent="0.3">
      <c r="A89">
        <v>5088</v>
      </c>
      <c r="B89">
        <v>20</v>
      </c>
      <c r="C89" t="s">
        <v>17</v>
      </c>
      <c r="D89" t="s">
        <v>40</v>
      </c>
      <c r="E89" s="1">
        <v>0.5</v>
      </c>
      <c r="F89" t="s">
        <v>16</v>
      </c>
      <c r="G89" t="s">
        <v>18</v>
      </c>
      <c r="H89" t="s">
        <v>27</v>
      </c>
      <c r="I89">
        <v>2</v>
      </c>
      <c r="J89" t="s">
        <v>20</v>
      </c>
      <c r="K89" t="s">
        <v>18</v>
      </c>
      <c r="L89" t="s">
        <v>16</v>
      </c>
      <c r="M89" t="s">
        <v>16</v>
      </c>
      <c r="N89" t="s">
        <v>18</v>
      </c>
      <c r="O89" t="s">
        <v>9</v>
      </c>
      <c r="P8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90" spans="1:16" x14ac:dyDescent="0.3">
      <c r="A90">
        <v>5089</v>
      </c>
      <c r="B90">
        <v>18</v>
      </c>
      <c r="C90" t="s">
        <v>17</v>
      </c>
      <c r="D90" t="s">
        <v>40</v>
      </c>
      <c r="E90" s="1">
        <v>0.75</v>
      </c>
      <c r="F90" t="s">
        <v>16</v>
      </c>
      <c r="G90" t="s">
        <v>18</v>
      </c>
      <c r="H90" t="s">
        <v>26</v>
      </c>
      <c r="I90">
        <v>0</v>
      </c>
      <c r="J90" t="s">
        <v>20</v>
      </c>
      <c r="K90" t="s">
        <v>18</v>
      </c>
      <c r="L90" t="s">
        <v>18</v>
      </c>
      <c r="M90" t="s">
        <v>16</v>
      </c>
      <c r="N90" t="s">
        <v>18</v>
      </c>
      <c r="O90" t="s">
        <v>9</v>
      </c>
      <c r="P90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91" spans="1:16" x14ac:dyDescent="0.3">
      <c r="A91">
        <v>5090</v>
      </c>
      <c r="B91">
        <v>22</v>
      </c>
      <c r="C91" t="s">
        <v>17</v>
      </c>
      <c r="D91" t="s">
        <v>40</v>
      </c>
      <c r="E91" s="1">
        <v>0.5</v>
      </c>
      <c r="F91" t="s">
        <v>16</v>
      </c>
      <c r="G91" t="s">
        <v>16</v>
      </c>
      <c r="H91" t="s">
        <v>27</v>
      </c>
      <c r="I91">
        <v>0</v>
      </c>
      <c r="J91" t="s">
        <v>20</v>
      </c>
      <c r="K91" t="s">
        <v>18</v>
      </c>
      <c r="L91" t="s">
        <v>16</v>
      </c>
      <c r="M91" t="s">
        <v>16</v>
      </c>
      <c r="N91" t="s">
        <v>16</v>
      </c>
      <c r="O91" t="s">
        <v>9</v>
      </c>
      <c r="P91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92" spans="1:16" x14ac:dyDescent="0.3">
      <c r="A92">
        <v>5091</v>
      </c>
      <c r="B92">
        <v>22</v>
      </c>
      <c r="C92" t="s">
        <v>15</v>
      </c>
      <c r="D92" t="s">
        <v>40</v>
      </c>
      <c r="E92" s="1">
        <v>0.5</v>
      </c>
      <c r="F92" t="s">
        <v>16</v>
      </c>
      <c r="G92" t="s">
        <v>18</v>
      </c>
      <c r="H92" t="s">
        <v>26</v>
      </c>
      <c r="I92">
        <v>0</v>
      </c>
      <c r="J92" t="s">
        <v>22</v>
      </c>
      <c r="K92" t="s">
        <v>16</v>
      </c>
      <c r="L92" t="s">
        <v>16</v>
      </c>
      <c r="M92" t="s">
        <v>18</v>
      </c>
      <c r="N92" t="s">
        <v>18</v>
      </c>
      <c r="O92" t="s">
        <v>9</v>
      </c>
      <c r="P9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93" spans="1:16" x14ac:dyDescent="0.3">
      <c r="A93">
        <v>5092</v>
      </c>
      <c r="B93">
        <v>20</v>
      </c>
      <c r="C93" t="s">
        <v>17</v>
      </c>
      <c r="D93" t="s">
        <v>40</v>
      </c>
      <c r="E93" s="1">
        <v>1</v>
      </c>
      <c r="F93" t="s">
        <v>18</v>
      </c>
      <c r="G93" t="s">
        <v>18</v>
      </c>
      <c r="H93" t="s">
        <v>26</v>
      </c>
      <c r="I93">
        <v>0</v>
      </c>
      <c r="J93" t="s">
        <v>20</v>
      </c>
      <c r="K93" t="s">
        <v>16</v>
      </c>
      <c r="L93" t="s">
        <v>18</v>
      </c>
      <c r="M93" t="s">
        <v>18</v>
      </c>
      <c r="N93" t="s">
        <v>16</v>
      </c>
      <c r="O93" t="s">
        <v>9</v>
      </c>
      <c r="P93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94" spans="1:16" x14ac:dyDescent="0.3">
      <c r="A94">
        <v>5093</v>
      </c>
      <c r="B94">
        <v>18</v>
      </c>
      <c r="C94" t="s">
        <v>17</v>
      </c>
      <c r="D94" t="s">
        <v>40</v>
      </c>
      <c r="E94" s="1">
        <v>0.5</v>
      </c>
      <c r="F94" t="s">
        <v>16</v>
      </c>
      <c r="G94" t="s">
        <v>16</v>
      </c>
      <c r="H94" t="s">
        <v>27</v>
      </c>
      <c r="I94">
        <v>0</v>
      </c>
      <c r="J94" t="s">
        <v>20</v>
      </c>
      <c r="K94" t="s">
        <v>18</v>
      </c>
      <c r="L94" t="s">
        <v>16</v>
      </c>
      <c r="M94" t="s">
        <v>16</v>
      </c>
      <c r="N94" t="s">
        <v>16</v>
      </c>
      <c r="O94" t="s">
        <v>10</v>
      </c>
      <c r="P9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95" spans="1:16" x14ac:dyDescent="0.3">
      <c r="A95">
        <v>5094</v>
      </c>
      <c r="B95">
        <v>18</v>
      </c>
      <c r="C95" t="s">
        <v>17</v>
      </c>
      <c r="D95" t="s">
        <v>40</v>
      </c>
      <c r="E95" s="1">
        <v>0</v>
      </c>
      <c r="F95" t="s">
        <v>18</v>
      </c>
      <c r="G95" t="s">
        <v>16</v>
      </c>
      <c r="H95" t="s">
        <v>26</v>
      </c>
      <c r="I95">
        <v>0</v>
      </c>
      <c r="J95" t="s">
        <v>20</v>
      </c>
      <c r="K95" t="s">
        <v>16</v>
      </c>
      <c r="L95" t="s">
        <v>18</v>
      </c>
      <c r="M95" t="s">
        <v>16</v>
      </c>
      <c r="N95" t="s">
        <v>16</v>
      </c>
      <c r="O95" t="s">
        <v>7</v>
      </c>
      <c r="P9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96" spans="1:16" x14ac:dyDescent="0.3">
      <c r="A96">
        <v>5095</v>
      </c>
      <c r="B96">
        <v>20</v>
      </c>
      <c r="C96" t="s">
        <v>17</v>
      </c>
      <c r="D96" t="s">
        <v>40</v>
      </c>
      <c r="E96" s="1">
        <v>0.5</v>
      </c>
      <c r="F96" t="s">
        <v>16</v>
      </c>
      <c r="G96" t="s">
        <v>16</v>
      </c>
      <c r="H96" t="s">
        <v>26</v>
      </c>
      <c r="I96">
        <v>0</v>
      </c>
      <c r="J96" t="s">
        <v>20</v>
      </c>
      <c r="K96" t="s">
        <v>18</v>
      </c>
      <c r="L96" t="s">
        <v>16</v>
      </c>
      <c r="M96" t="s">
        <v>16</v>
      </c>
      <c r="N96" t="s">
        <v>16</v>
      </c>
      <c r="O96" t="s">
        <v>9</v>
      </c>
      <c r="P9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97" spans="1:16" x14ac:dyDescent="0.3">
      <c r="A97">
        <v>5096</v>
      </c>
      <c r="B97">
        <v>18</v>
      </c>
      <c r="C97" t="s">
        <v>17</v>
      </c>
      <c r="D97" t="s">
        <v>39</v>
      </c>
      <c r="E97" s="1">
        <v>1</v>
      </c>
      <c r="F97" t="s">
        <v>18</v>
      </c>
      <c r="G97" t="s">
        <v>18</v>
      </c>
      <c r="H97" t="s">
        <v>26</v>
      </c>
      <c r="I97">
        <v>0</v>
      </c>
      <c r="J97" t="s">
        <v>22</v>
      </c>
      <c r="K97" t="s">
        <v>16</v>
      </c>
      <c r="L97" t="s">
        <v>16</v>
      </c>
      <c r="M97" t="s">
        <v>16</v>
      </c>
      <c r="N97" t="s">
        <v>18</v>
      </c>
      <c r="O97" t="s">
        <v>8</v>
      </c>
      <c r="P9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98" spans="1:16" x14ac:dyDescent="0.3">
      <c r="A98">
        <v>5097</v>
      </c>
      <c r="B98">
        <v>18</v>
      </c>
      <c r="C98" t="s">
        <v>17</v>
      </c>
      <c r="D98" t="s">
        <v>40</v>
      </c>
      <c r="E98" s="1">
        <v>0.75</v>
      </c>
      <c r="F98" t="s">
        <v>16</v>
      </c>
      <c r="G98" t="s">
        <v>18</v>
      </c>
      <c r="H98" t="s">
        <v>26</v>
      </c>
      <c r="I98">
        <v>0</v>
      </c>
      <c r="J98" t="s">
        <v>22</v>
      </c>
      <c r="K98" t="s">
        <v>16</v>
      </c>
      <c r="L98" t="s">
        <v>16</v>
      </c>
      <c r="M98" t="s">
        <v>16</v>
      </c>
      <c r="N98" t="s">
        <v>16</v>
      </c>
      <c r="O98" t="s">
        <v>10</v>
      </c>
      <c r="P98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99" spans="1:16" x14ac:dyDescent="0.3">
      <c r="A99">
        <v>5098</v>
      </c>
      <c r="B99">
        <v>18</v>
      </c>
      <c r="C99" t="s">
        <v>17</v>
      </c>
      <c r="D99" t="s">
        <v>40</v>
      </c>
      <c r="E99" s="1">
        <v>0.75</v>
      </c>
      <c r="F99" t="s">
        <v>18</v>
      </c>
      <c r="G99" t="s">
        <v>16</v>
      </c>
      <c r="H99" t="s">
        <v>27</v>
      </c>
      <c r="I99">
        <v>0</v>
      </c>
      <c r="J99" t="s">
        <v>20</v>
      </c>
      <c r="K99" t="s">
        <v>16</v>
      </c>
      <c r="L99" t="s">
        <v>16</v>
      </c>
      <c r="M99" t="s">
        <v>18</v>
      </c>
      <c r="N99" t="s">
        <v>16</v>
      </c>
      <c r="O99" t="s">
        <v>9</v>
      </c>
      <c r="P9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00" spans="1:16" x14ac:dyDescent="0.3">
      <c r="A100">
        <v>5099</v>
      </c>
      <c r="B100">
        <v>18</v>
      </c>
      <c r="C100" t="s">
        <v>17</v>
      </c>
      <c r="D100" t="s">
        <v>40</v>
      </c>
      <c r="E100" s="1">
        <v>0.75</v>
      </c>
      <c r="F100" t="s">
        <v>16</v>
      </c>
      <c r="G100" t="s">
        <v>18</v>
      </c>
      <c r="H100" t="s">
        <v>27</v>
      </c>
      <c r="I100">
        <v>0</v>
      </c>
      <c r="J100" t="s">
        <v>21</v>
      </c>
      <c r="K100" t="s">
        <v>16</v>
      </c>
      <c r="L100" t="s">
        <v>16</v>
      </c>
      <c r="M100" t="s">
        <v>16</v>
      </c>
      <c r="N100" t="s">
        <v>18</v>
      </c>
      <c r="O100" t="s">
        <v>10</v>
      </c>
      <c r="P100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01" spans="1:16" x14ac:dyDescent="0.3">
      <c r="A101">
        <v>5100</v>
      </c>
      <c r="B101">
        <v>20</v>
      </c>
      <c r="C101" t="s">
        <v>17</v>
      </c>
      <c r="D101" t="s">
        <v>40</v>
      </c>
      <c r="E101" s="1">
        <v>0.5</v>
      </c>
      <c r="F101" t="s">
        <v>16</v>
      </c>
      <c r="G101" t="s">
        <v>16</v>
      </c>
      <c r="H101" t="s">
        <v>27</v>
      </c>
      <c r="I101">
        <v>0</v>
      </c>
      <c r="J101" t="s">
        <v>21</v>
      </c>
      <c r="K101" t="s">
        <v>16</v>
      </c>
      <c r="L101" t="s">
        <v>16</v>
      </c>
      <c r="M101" t="s">
        <v>16</v>
      </c>
      <c r="N101" t="s">
        <v>18</v>
      </c>
      <c r="O101" t="s">
        <v>10</v>
      </c>
      <c r="P101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02" spans="1:16" x14ac:dyDescent="0.3">
      <c r="A102">
        <v>5101</v>
      </c>
      <c r="B102">
        <v>18</v>
      </c>
      <c r="C102" t="s">
        <v>17</v>
      </c>
      <c r="D102" t="s">
        <v>40</v>
      </c>
      <c r="E102" s="1">
        <v>0.75</v>
      </c>
      <c r="F102" t="s">
        <v>16</v>
      </c>
      <c r="G102" t="s">
        <v>16</v>
      </c>
      <c r="H102" t="s">
        <v>27</v>
      </c>
      <c r="I102">
        <v>0</v>
      </c>
      <c r="J102" t="s">
        <v>22</v>
      </c>
      <c r="K102" t="s">
        <v>16</v>
      </c>
      <c r="L102" t="s">
        <v>18</v>
      </c>
      <c r="M102" t="s">
        <v>18</v>
      </c>
      <c r="N102" t="s">
        <v>18</v>
      </c>
      <c r="O102" t="s">
        <v>9</v>
      </c>
      <c r="P10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03" spans="1:16" x14ac:dyDescent="0.3">
      <c r="A103">
        <v>5102</v>
      </c>
      <c r="B103">
        <v>18</v>
      </c>
      <c r="C103" t="s">
        <v>17</v>
      </c>
      <c r="D103" t="s">
        <v>40</v>
      </c>
      <c r="E103" s="1">
        <v>0.75</v>
      </c>
      <c r="F103" t="s">
        <v>16</v>
      </c>
      <c r="G103" t="s">
        <v>16</v>
      </c>
      <c r="H103" t="s">
        <v>26</v>
      </c>
      <c r="I103">
        <v>2</v>
      </c>
      <c r="J103" t="s">
        <v>20</v>
      </c>
      <c r="K103" t="s">
        <v>16</v>
      </c>
      <c r="L103" t="s">
        <v>16</v>
      </c>
      <c r="M103" t="s">
        <v>18</v>
      </c>
      <c r="N103" t="s">
        <v>18</v>
      </c>
      <c r="O103" t="s">
        <v>10</v>
      </c>
      <c r="P103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04" spans="1:16" x14ac:dyDescent="0.3">
      <c r="A104">
        <v>5103</v>
      </c>
      <c r="B104">
        <v>18</v>
      </c>
      <c r="C104" t="s">
        <v>17</v>
      </c>
      <c r="D104" t="s">
        <v>40</v>
      </c>
      <c r="E104" s="1">
        <v>0.5</v>
      </c>
      <c r="F104" t="s">
        <v>16</v>
      </c>
      <c r="G104" t="s">
        <v>16</v>
      </c>
      <c r="H104" t="s">
        <v>26</v>
      </c>
      <c r="I104">
        <v>0</v>
      </c>
      <c r="J104" t="s">
        <v>20</v>
      </c>
      <c r="K104" t="s">
        <v>16</v>
      </c>
      <c r="L104" t="s">
        <v>16</v>
      </c>
      <c r="M104" t="s">
        <v>18</v>
      </c>
      <c r="N104" t="s">
        <v>18</v>
      </c>
      <c r="O104" t="s">
        <v>10</v>
      </c>
      <c r="P10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05" spans="1:16" x14ac:dyDescent="0.3">
      <c r="A105">
        <v>5104</v>
      </c>
      <c r="B105">
        <v>18</v>
      </c>
      <c r="C105" t="s">
        <v>17</v>
      </c>
      <c r="D105" t="s">
        <v>27</v>
      </c>
      <c r="E105" s="1">
        <v>0.75</v>
      </c>
      <c r="F105" t="s">
        <v>16</v>
      </c>
      <c r="G105" t="s">
        <v>16</v>
      </c>
      <c r="H105" t="s">
        <v>26</v>
      </c>
      <c r="I105">
        <v>12</v>
      </c>
      <c r="J105" t="s">
        <v>20</v>
      </c>
      <c r="K105" t="s">
        <v>16</v>
      </c>
      <c r="L105" t="s">
        <v>18</v>
      </c>
      <c r="M105" t="s">
        <v>18</v>
      </c>
      <c r="N105" t="s">
        <v>16</v>
      </c>
      <c r="O105" t="s">
        <v>10</v>
      </c>
      <c r="P10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06" spans="1:16" x14ac:dyDescent="0.3">
      <c r="A106">
        <v>5105</v>
      </c>
      <c r="B106">
        <v>18</v>
      </c>
      <c r="C106" t="s">
        <v>15</v>
      </c>
      <c r="D106" t="s">
        <v>40</v>
      </c>
      <c r="E106" s="1">
        <v>0.5</v>
      </c>
      <c r="F106" t="s">
        <v>16</v>
      </c>
      <c r="G106" t="s">
        <v>16</v>
      </c>
      <c r="H106" t="s">
        <v>27</v>
      </c>
      <c r="I106">
        <v>0</v>
      </c>
      <c r="J106" t="s">
        <v>22</v>
      </c>
      <c r="K106" t="s">
        <v>16</v>
      </c>
      <c r="L106" t="s">
        <v>18</v>
      </c>
      <c r="M106" t="s">
        <v>16</v>
      </c>
      <c r="N106" t="s">
        <v>18</v>
      </c>
      <c r="O106" t="s">
        <v>6</v>
      </c>
      <c r="P10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07" spans="1:16" x14ac:dyDescent="0.3">
      <c r="A107">
        <v>5106</v>
      </c>
      <c r="B107">
        <v>18</v>
      </c>
      <c r="C107" t="s">
        <v>17</v>
      </c>
      <c r="D107" t="s">
        <v>40</v>
      </c>
      <c r="E107" s="1">
        <v>0.75</v>
      </c>
      <c r="F107" t="s">
        <v>18</v>
      </c>
      <c r="G107" t="s">
        <v>18</v>
      </c>
      <c r="H107" t="s">
        <v>27</v>
      </c>
      <c r="I107">
        <v>0</v>
      </c>
      <c r="J107" t="s">
        <v>20</v>
      </c>
      <c r="K107" t="s">
        <v>18</v>
      </c>
      <c r="L107" t="s">
        <v>16</v>
      </c>
      <c r="M107" t="s">
        <v>16</v>
      </c>
      <c r="N107" t="s">
        <v>16</v>
      </c>
      <c r="O107" t="s">
        <v>10</v>
      </c>
      <c r="P10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08" spans="1:16" x14ac:dyDescent="0.3">
      <c r="A108">
        <v>5107</v>
      </c>
      <c r="B108">
        <v>18</v>
      </c>
      <c r="C108" t="s">
        <v>17</v>
      </c>
      <c r="D108" t="s">
        <v>40</v>
      </c>
      <c r="E108" s="1">
        <v>0.75</v>
      </c>
      <c r="F108" t="s">
        <v>16</v>
      </c>
      <c r="G108" t="s">
        <v>18</v>
      </c>
      <c r="H108" t="s">
        <v>27</v>
      </c>
      <c r="I108">
        <v>0</v>
      </c>
      <c r="J108" t="s">
        <v>20</v>
      </c>
      <c r="K108" t="s">
        <v>16</v>
      </c>
      <c r="L108" t="s">
        <v>16</v>
      </c>
      <c r="M108" t="s">
        <v>16</v>
      </c>
      <c r="N108" t="s">
        <v>18</v>
      </c>
      <c r="O108" t="s">
        <v>10</v>
      </c>
      <c r="P108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09" spans="1:16" x14ac:dyDescent="0.3">
      <c r="A109">
        <v>5108</v>
      </c>
      <c r="B109">
        <v>18</v>
      </c>
      <c r="C109" t="s">
        <v>15</v>
      </c>
      <c r="D109" t="s">
        <v>40</v>
      </c>
      <c r="E109" s="1">
        <v>0.75</v>
      </c>
      <c r="F109" t="s">
        <v>18</v>
      </c>
      <c r="G109" t="s">
        <v>18</v>
      </c>
      <c r="H109" t="s">
        <v>27</v>
      </c>
      <c r="I109">
        <v>0</v>
      </c>
      <c r="J109" t="s">
        <v>20</v>
      </c>
      <c r="K109" t="s">
        <v>16</v>
      </c>
      <c r="L109" t="s">
        <v>18</v>
      </c>
      <c r="M109" t="s">
        <v>18</v>
      </c>
      <c r="N109" t="s">
        <v>16</v>
      </c>
      <c r="O109" t="s">
        <v>9</v>
      </c>
      <c r="P10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10" spans="1:16" x14ac:dyDescent="0.3">
      <c r="A110">
        <v>5109</v>
      </c>
      <c r="B110">
        <v>22</v>
      </c>
      <c r="C110" t="s">
        <v>15</v>
      </c>
      <c r="D110" t="s">
        <v>27</v>
      </c>
      <c r="E110" s="1">
        <v>1</v>
      </c>
      <c r="F110" t="s">
        <v>16</v>
      </c>
      <c r="G110" t="s">
        <v>18</v>
      </c>
      <c r="H110" t="s">
        <v>27</v>
      </c>
      <c r="I110">
        <v>2</v>
      </c>
      <c r="J110" t="s">
        <v>22</v>
      </c>
      <c r="K110" t="s">
        <v>18</v>
      </c>
      <c r="L110" t="s">
        <v>18</v>
      </c>
      <c r="M110" t="s">
        <v>16</v>
      </c>
      <c r="N110" t="s">
        <v>18</v>
      </c>
      <c r="O110" t="s">
        <v>9</v>
      </c>
      <c r="P110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11" spans="1:16" x14ac:dyDescent="0.3">
      <c r="A111">
        <v>5110</v>
      </c>
      <c r="B111">
        <v>18</v>
      </c>
      <c r="C111" t="s">
        <v>17</v>
      </c>
      <c r="D111" t="s">
        <v>27</v>
      </c>
      <c r="E111" s="1">
        <v>0.5</v>
      </c>
      <c r="F111" t="s">
        <v>16</v>
      </c>
      <c r="G111" t="s">
        <v>18</v>
      </c>
      <c r="H111" t="s">
        <v>26</v>
      </c>
      <c r="I111">
        <v>0</v>
      </c>
      <c r="J111" t="s">
        <v>22</v>
      </c>
      <c r="K111" t="s">
        <v>16</v>
      </c>
      <c r="L111" t="s">
        <v>18</v>
      </c>
      <c r="M111" t="s">
        <v>16</v>
      </c>
      <c r="N111" t="s">
        <v>18</v>
      </c>
      <c r="O111" t="s">
        <v>10</v>
      </c>
      <c r="P111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12" spans="1:16" x14ac:dyDescent="0.3">
      <c r="A112">
        <v>5111</v>
      </c>
      <c r="B112">
        <v>22</v>
      </c>
      <c r="C112" t="s">
        <v>17</v>
      </c>
      <c r="D112" t="s">
        <v>40</v>
      </c>
      <c r="E112" s="1">
        <v>0.5</v>
      </c>
      <c r="F112" t="s">
        <v>16</v>
      </c>
      <c r="G112" t="s">
        <v>16</v>
      </c>
      <c r="H112" t="s">
        <v>27</v>
      </c>
      <c r="I112">
        <v>2</v>
      </c>
      <c r="J112" t="s">
        <v>21</v>
      </c>
      <c r="K112" t="s">
        <v>16</v>
      </c>
      <c r="L112" t="s">
        <v>18</v>
      </c>
      <c r="M112" t="s">
        <v>16</v>
      </c>
      <c r="N112" t="s">
        <v>18</v>
      </c>
      <c r="O112" t="s">
        <v>5</v>
      </c>
      <c r="P11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13" spans="1:16" x14ac:dyDescent="0.3">
      <c r="A113">
        <v>5112</v>
      </c>
      <c r="B113">
        <v>18</v>
      </c>
      <c r="C113" t="s">
        <v>15</v>
      </c>
      <c r="D113" t="s">
        <v>27</v>
      </c>
      <c r="E113" s="1">
        <v>1</v>
      </c>
      <c r="F113" t="s">
        <v>16</v>
      </c>
      <c r="G113" t="s">
        <v>18</v>
      </c>
      <c r="H113" t="s">
        <v>27</v>
      </c>
      <c r="I113">
        <v>0</v>
      </c>
      <c r="J113" t="s">
        <v>20</v>
      </c>
      <c r="K113" t="s">
        <v>16</v>
      </c>
      <c r="L113" t="s">
        <v>16</v>
      </c>
      <c r="M113" t="s">
        <v>18</v>
      </c>
      <c r="N113" t="s">
        <v>18</v>
      </c>
      <c r="O113" t="s">
        <v>5</v>
      </c>
      <c r="P113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14" spans="1:16" x14ac:dyDescent="0.3">
      <c r="A114">
        <v>5113</v>
      </c>
      <c r="B114">
        <v>20</v>
      </c>
      <c r="C114" t="s">
        <v>15</v>
      </c>
      <c r="D114" t="s">
        <v>39</v>
      </c>
      <c r="E114" s="1">
        <v>0.5</v>
      </c>
      <c r="F114" t="s">
        <v>18</v>
      </c>
      <c r="G114" t="s">
        <v>16</v>
      </c>
      <c r="H114" t="s">
        <v>27</v>
      </c>
      <c r="I114">
        <v>0</v>
      </c>
      <c r="J114" t="s">
        <v>20</v>
      </c>
      <c r="K114" t="s">
        <v>16</v>
      </c>
      <c r="L114" t="s">
        <v>18</v>
      </c>
      <c r="M114" t="s">
        <v>18</v>
      </c>
      <c r="N114" t="s">
        <v>18</v>
      </c>
      <c r="O114" t="s">
        <v>5</v>
      </c>
      <c r="P11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15" spans="1:16" x14ac:dyDescent="0.3">
      <c r="A115">
        <v>5114</v>
      </c>
      <c r="B115">
        <v>21</v>
      </c>
      <c r="C115" t="s">
        <v>15</v>
      </c>
      <c r="D115" t="s">
        <v>39</v>
      </c>
      <c r="E115" s="1">
        <v>0.5</v>
      </c>
      <c r="F115" t="s">
        <v>16</v>
      </c>
      <c r="G115" t="s">
        <v>16</v>
      </c>
      <c r="H115" t="s">
        <v>27</v>
      </c>
      <c r="I115">
        <v>0</v>
      </c>
      <c r="J115" t="s">
        <v>21</v>
      </c>
      <c r="K115" t="s">
        <v>16</v>
      </c>
      <c r="L115" t="s">
        <v>18</v>
      </c>
      <c r="M115" t="s">
        <v>16</v>
      </c>
      <c r="N115" t="s">
        <v>18</v>
      </c>
      <c r="O115" t="s">
        <v>4</v>
      </c>
      <c r="P11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16" spans="1:16" x14ac:dyDescent="0.3">
      <c r="A116">
        <v>5115</v>
      </c>
      <c r="B116">
        <v>21</v>
      </c>
      <c r="C116" t="s">
        <v>15</v>
      </c>
      <c r="D116" t="s">
        <v>40</v>
      </c>
      <c r="E116" s="1">
        <v>1</v>
      </c>
      <c r="F116" t="s">
        <v>18</v>
      </c>
      <c r="G116" t="s">
        <v>18</v>
      </c>
      <c r="H116" t="s">
        <v>27</v>
      </c>
      <c r="I116">
        <v>8</v>
      </c>
      <c r="J116" t="s">
        <v>20</v>
      </c>
      <c r="K116" t="s">
        <v>18</v>
      </c>
      <c r="L116" t="s">
        <v>18</v>
      </c>
      <c r="M116" t="s">
        <v>18</v>
      </c>
      <c r="N116" t="s">
        <v>18</v>
      </c>
      <c r="O116" t="s">
        <v>5</v>
      </c>
      <c r="P11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17" spans="1:16" x14ac:dyDescent="0.3">
      <c r="A117">
        <v>5116</v>
      </c>
      <c r="B117">
        <v>19</v>
      </c>
      <c r="C117" t="s">
        <v>15</v>
      </c>
      <c r="D117" t="s">
        <v>40</v>
      </c>
      <c r="E117" s="1">
        <v>1</v>
      </c>
      <c r="F117" t="s">
        <v>18</v>
      </c>
      <c r="G117" t="s">
        <v>16</v>
      </c>
      <c r="H117" t="s">
        <v>26</v>
      </c>
      <c r="I117">
        <v>0</v>
      </c>
      <c r="J117" t="s">
        <v>20</v>
      </c>
      <c r="K117" t="s">
        <v>18</v>
      </c>
      <c r="L117" t="s">
        <v>18</v>
      </c>
      <c r="M117" t="s">
        <v>18</v>
      </c>
      <c r="N117" t="s">
        <v>18</v>
      </c>
      <c r="O117" t="s">
        <v>4</v>
      </c>
      <c r="P11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18" spans="1:16" x14ac:dyDescent="0.3">
      <c r="A118">
        <v>5117</v>
      </c>
      <c r="B118">
        <v>21</v>
      </c>
      <c r="C118" t="s">
        <v>15</v>
      </c>
      <c r="D118" t="s">
        <v>40</v>
      </c>
      <c r="E118" s="1">
        <v>1</v>
      </c>
      <c r="F118" t="s">
        <v>16</v>
      </c>
      <c r="G118" t="s">
        <v>16</v>
      </c>
      <c r="H118" t="s">
        <v>27</v>
      </c>
      <c r="I118">
        <v>0</v>
      </c>
      <c r="J118" t="s">
        <v>20</v>
      </c>
      <c r="K118" t="s">
        <v>18</v>
      </c>
      <c r="L118" t="s">
        <v>18</v>
      </c>
      <c r="M118" t="s">
        <v>18</v>
      </c>
      <c r="N118" t="s">
        <v>16</v>
      </c>
      <c r="O118" t="s">
        <v>4</v>
      </c>
      <c r="P118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19" spans="1:16" x14ac:dyDescent="0.3">
      <c r="A119">
        <v>5118</v>
      </c>
      <c r="B119">
        <v>26</v>
      </c>
      <c r="C119" t="s">
        <v>15</v>
      </c>
      <c r="D119" t="s">
        <v>27</v>
      </c>
      <c r="E119" s="1">
        <v>0.5</v>
      </c>
      <c r="F119" t="s">
        <v>16</v>
      </c>
      <c r="G119" t="s">
        <v>18</v>
      </c>
      <c r="H119" t="s">
        <v>27</v>
      </c>
      <c r="I119">
        <v>0</v>
      </c>
      <c r="J119" t="s">
        <v>20</v>
      </c>
      <c r="K119" t="s">
        <v>16</v>
      </c>
      <c r="L119" t="s">
        <v>18</v>
      </c>
      <c r="M119" t="s">
        <v>16</v>
      </c>
      <c r="N119" t="s">
        <v>18</v>
      </c>
      <c r="O119" t="s">
        <v>4</v>
      </c>
      <c r="P11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20" spans="1:16" x14ac:dyDescent="0.3">
      <c r="A120">
        <v>5119</v>
      </c>
      <c r="B120">
        <v>18</v>
      </c>
      <c r="C120" t="s">
        <v>17</v>
      </c>
      <c r="D120" t="s">
        <v>40</v>
      </c>
      <c r="E120" s="1">
        <v>1</v>
      </c>
      <c r="F120" t="s">
        <v>16</v>
      </c>
      <c r="G120" t="s">
        <v>18</v>
      </c>
      <c r="H120" t="s">
        <v>26</v>
      </c>
      <c r="I120">
        <v>0</v>
      </c>
      <c r="J120" t="s">
        <v>21</v>
      </c>
      <c r="K120" t="s">
        <v>16</v>
      </c>
      <c r="L120" t="s">
        <v>18</v>
      </c>
      <c r="M120" t="s">
        <v>16</v>
      </c>
      <c r="N120" t="s">
        <v>16</v>
      </c>
      <c r="O120" t="s">
        <v>4</v>
      </c>
      <c r="P120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21" spans="1:16" x14ac:dyDescent="0.3">
      <c r="A121">
        <v>5120</v>
      </c>
      <c r="B121">
        <v>21</v>
      </c>
      <c r="C121" t="s">
        <v>15</v>
      </c>
      <c r="D121" t="s">
        <v>40</v>
      </c>
      <c r="E121" s="1">
        <v>0.75</v>
      </c>
      <c r="F121" t="s">
        <v>16</v>
      </c>
      <c r="G121" t="s">
        <v>18</v>
      </c>
      <c r="H121" t="s">
        <v>27</v>
      </c>
      <c r="I121">
        <v>0</v>
      </c>
      <c r="J121" t="s">
        <v>20</v>
      </c>
      <c r="K121" t="s">
        <v>16</v>
      </c>
      <c r="L121" t="s">
        <v>16</v>
      </c>
      <c r="M121" t="s">
        <v>18</v>
      </c>
      <c r="N121" t="s">
        <v>18</v>
      </c>
      <c r="O121" t="s">
        <v>5</v>
      </c>
      <c r="P121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22" spans="1:16" x14ac:dyDescent="0.3">
      <c r="A122">
        <v>5121</v>
      </c>
      <c r="B122">
        <v>21</v>
      </c>
      <c r="C122" t="s">
        <v>15</v>
      </c>
      <c r="D122" t="s">
        <v>27</v>
      </c>
      <c r="E122" s="1">
        <v>0.5</v>
      </c>
      <c r="F122" t="s">
        <v>18</v>
      </c>
      <c r="G122" t="s">
        <v>18</v>
      </c>
      <c r="H122" t="s">
        <v>26</v>
      </c>
      <c r="I122">
        <v>2</v>
      </c>
      <c r="J122" t="s">
        <v>22</v>
      </c>
      <c r="K122" t="s">
        <v>16</v>
      </c>
      <c r="L122" t="s">
        <v>16</v>
      </c>
      <c r="M122" t="s">
        <v>18</v>
      </c>
      <c r="N122" t="s">
        <v>18</v>
      </c>
      <c r="O122" t="s">
        <v>4</v>
      </c>
      <c r="P12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23" spans="1:16" x14ac:dyDescent="0.3">
      <c r="A123">
        <v>5122</v>
      </c>
      <c r="B123">
        <v>21</v>
      </c>
      <c r="C123" t="s">
        <v>15</v>
      </c>
      <c r="D123" t="s">
        <v>40</v>
      </c>
      <c r="E123" s="1">
        <v>0.5</v>
      </c>
      <c r="F123" t="s">
        <v>18</v>
      </c>
      <c r="G123" t="s">
        <v>18</v>
      </c>
      <c r="H123" t="s">
        <v>26</v>
      </c>
      <c r="I123">
        <v>0</v>
      </c>
      <c r="J123" t="s">
        <v>22</v>
      </c>
      <c r="K123" t="s">
        <v>18</v>
      </c>
      <c r="L123" t="s">
        <v>18</v>
      </c>
      <c r="M123" t="s">
        <v>18</v>
      </c>
      <c r="N123" t="s">
        <v>16</v>
      </c>
      <c r="O123" t="s">
        <v>11</v>
      </c>
      <c r="P123">
        <f>IF(OR(Table2[[#This Row],[Grade]]="AA",Table2[[#This Row],[Grade]]="BA", Table2[[#This Row],[Grade]]="BB",Table2[[#This Row],[Grade]]="CB",Table2[[#This Row],[Grade]]="CC",Table2[[#This Row],[Grade]]="DC",Table2[[#This Row],[Grade]]="DD"),1,0)</f>
        <v>0</v>
      </c>
    </row>
    <row r="124" spans="1:16" x14ac:dyDescent="0.3">
      <c r="A124">
        <v>5123</v>
      </c>
      <c r="B124">
        <v>18</v>
      </c>
      <c r="C124" t="s">
        <v>17</v>
      </c>
      <c r="D124" t="s">
        <v>40</v>
      </c>
      <c r="E124" s="1">
        <v>1</v>
      </c>
      <c r="F124" t="s">
        <v>16</v>
      </c>
      <c r="G124" t="s">
        <v>18</v>
      </c>
      <c r="H124" t="s">
        <v>27</v>
      </c>
      <c r="I124">
        <v>0</v>
      </c>
      <c r="J124" t="s">
        <v>20</v>
      </c>
      <c r="K124" t="s">
        <v>18</v>
      </c>
      <c r="L124" t="s">
        <v>16</v>
      </c>
      <c r="M124" t="s">
        <v>18</v>
      </c>
      <c r="N124" t="s">
        <v>18</v>
      </c>
      <c r="O124" t="s">
        <v>5</v>
      </c>
      <c r="P12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25" spans="1:16" x14ac:dyDescent="0.3">
      <c r="A125">
        <v>5124</v>
      </c>
      <c r="B125">
        <v>22</v>
      </c>
      <c r="C125" t="s">
        <v>15</v>
      </c>
      <c r="D125" t="s">
        <v>39</v>
      </c>
      <c r="E125" s="1">
        <v>0.5</v>
      </c>
      <c r="F125" t="s">
        <v>16</v>
      </c>
      <c r="G125" t="s">
        <v>16</v>
      </c>
      <c r="H125" t="s">
        <v>27</v>
      </c>
      <c r="I125">
        <v>12</v>
      </c>
      <c r="J125" t="s">
        <v>20</v>
      </c>
      <c r="K125" t="s">
        <v>18</v>
      </c>
      <c r="L125" t="s">
        <v>16</v>
      </c>
      <c r="M125" t="s">
        <v>16</v>
      </c>
      <c r="N125" t="s">
        <v>16</v>
      </c>
      <c r="O125" t="s">
        <v>4</v>
      </c>
      <c r="P12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26" spans="1:16" x14ac:dyDescent="0.3">
      <c r="A126">
        <v>5125</v>
      </c>
      <c r="B126">
        <v>18</v>
      </c>
      <c r="C126" t="s">
        <v>15</v>
      </c>
      <c r="D126" t="s">
        <v>40</v>
      </c>
      <c r="E126" s="1">
        <v>0.75</v>
      </c>
      <c r="F126" t="s">
        <v>18</v>
      </c>
      <c r="G126" t="s">
        <v>18</v>
      </c>
      <c r="H126" t="s">
        <v>26</v>
      </c>
      <c r="I126">
        <v>0</v>
      </c>
      <c r="J126" t="s">
        <v>20</v>
      </c>
      <c r="K126" t="s">
        <v>16</v>
      </c>
      <c r="L126" t="s">
        <v>16</v>
      </c>
      <c r="M126" t="s">
        <v>18</v>
      </c>
      <c r="N126" t="s">
        <v>18</v>
      </c>
      <c r="O126" t="s">
        <v>6</v>
      </c>
      <c r="P12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27" spans="1:16" x14ac:dyDescent="0.3">
      <c r="A127">
        <v>5126</v>
      </c>
      <c r="B127">
        <v>18</v>
      </c>
      <c r="C127" t="s">
        <v>15</v>
      </c>
      <c r="D127" t="s">
        <v>40</v>
      </c>
      <c r="E127" s="1">
        <v>1</v>
      </c>
      <c r="F127" t="s">
        <v>18</v>
      </c>
      <c r="G127" t="s">
        <v>18</v>
      </c>
      <c r="H127" t="s">
        <v>27</v>
      </c>
      <c r="I127">
        <v>0</v>
      </c>
      <c r="J127" t="s">
        <v>20</v>
      </c>
      <c r="K127" t="s">
        <v>16</v>
      </c>
      <c r="L127" t="s">
        <v>18</v>
      </c>
      <c r="M127" t="s">
        <v>18</v>
      </c>
      <c r="N127" t="s">
        <v>16</v>
      </c>
      <c r="O127" t="s">
        <v>5</v>
      </c>
      <c r="P12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28" spans="1:16" x14ac:dyDescent="0.3">
      <c r="A128">
        <v>5127</v>
      </c>
      <c r="B128">
        <v>18</v>
      </c>
      <c r="C128" t="s">
        <v>15</v>
      </c>
      <c r="D128" t="s">
        <v>27</v>
      </c>
      <c r="E128" s="1">
        <v>0.75</v>
      </c>
      <c r="F128" t="s">
        <v>18</v>
      </c>
      <c r="G128" t="s">
        <v>18</v>
      </c>
      <c r="H128" t="s">
        <v>26</v>
      </c>
      <c r="I128">
        <v>12</v>
      </c>
      <c r="J128" t="s">
        <v>22</v>
      </c>
      <c r="K128" t="s">
        <v>16</v>
      </c>
      <c r="L128" t="s">
        <v>18</v>
      </c>
      <c r="M128" t="s">
        <v>18</v>
      </c>
      <c r="N128" t="s">
        <v>18</v>
      </c>
      <c r="O128" t="s">
        <v>6</v>
      </c>
      <c r="P128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29" spans="1:16" x14ac:dyDescent="0.3">
      <c r="A129">
        <v>5128</v>
      </c>
      <c r="B129">
        <v>18</v>
      </c>
      <c r="C129" t="s">
        <v>15</v>
      </c>
      <c r="D129" t="s">
        <v>40</v>
      </c>
      <c r="E129" s="1">
        <v>0.75</v>
      </c>
      <c r="F129" t="s">
        <v>16</v>
      </c>
      <c r="G129" t="s">
        <v>16</v>
      </c>
      <c r="H129" t="s">
        <v>27</v>
      </c>
      <c r="I129">
        <v>0</v>
      </c>
      <c r="J129" t="s">
        <v>21</v>
      </c>
      <c r="K129" t="s">
        <v>16</v>
      </c>
      <c r="L129" t="s">
        <v>16</v>
      </c>
      <c r="M129" t="s">
        <v>16</v>
      </c>
      <c r="N129" t="s">
        <v>18</v>
      </c>
      <c r="O129" t="s">
        <v>4</v>
      </c>
      <c r="P12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30" spans="1:16" x14ac:dyDescent="0.3">
      <c r="A130">
        <v>5129</v>
      </c>
      <c r="B130">
        <v>18</v>
      </c>
      <c r="C130" t="s">
        <v>15</v>
      </c>
      <c r="D130" t="s">
        <v>40</v>
      </c>
      <c r="E130" s="1">
        <v>0.75</v>
      </c>
      <c r="F130" t="s">
        <v>16</v>
      </c>
      <c r="G130" t="s">
        <v>18</v>
      </c>
      <c r="H130" t="s">
        <v>26</v>
      </c>
      <c r="I130">
        <v>0</v>
      </c>
      <c r="J130" t="s">
        <v>21</v>
      </c>
      <c r="K130" t="s">
        <v>16</v>
      </c>
      <c r="L130" t="s">
        <v>16</v>
      </c>
      <c r="M130" t="s">
        <v>16</v>
      </c>
      <c r="N130" t="s">
        <v>18</v>
      </c>
      <c r="O130" t="s">
        <v>11</v>
      </c>
      <c r="P130">
        <f>IF(OR(Table2[[#This Row],[Grade]]="AA",Table2[[#This Row],[Grade]]="BA", Table2[[#This Row],[Grade]]="BB",Table2[[#This Row],[Grade]]="CB",Table2[[#This Row],[Grade]]="CC",Table2[[#This Row],[Grade]]="DC",Table2[[#This Row],[Grade]]="DD"),1,0)</f>
        <v>0</v>
      </c>
    </row>
    <row r="131" spans="1:16" x14ac:dyDescent="0.3">
      <c r="A131">
        <v>5130</v>
      </c>
      <c r="B131">
        <v>18</v>
      </c>
      <c r="C131" t="s">
        <v>15</v>
      </c>
      <c r="D131" t="s">
        <v>40</v>
      </c>
      <c r="E131" s="1">
        <v>0.5</v>
      </c>
      <c r="F131" t="s">
        <v>18</v>
      </c>
      <c r="G131" t="s">
        <v>18</v>
      </c>
      <c r="H131" t="s">
        <v>27</v>
      </c>
      <c r="I131">
        <v>0</v>
      </c>
      <c r="J131" t="s">
        <v>20</v>
      </c>
      <c r="K131" t="s">
        <v>18</v>
      </c>
      <c r="L131" t="s">
        <v>18</v>
      </c>
      <c r="M131" t="s">
        <v>18</v>
      </c>
      <c r="N131" t="s">
        <v>16</v>
      </c>
      <c r="O131" t="s">
        <v>6</v>
      </c>
      <c r="P131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32" spans="1:16" x14ac:dyDescent="0.3">
      <c r="A132">
        <v>5131</v>
      </c>
      <c r="B132">
        <v>18</v>
      </c>
      <c r="C132" t="s">
        <v>15</v>
      </c>
      <c r="D132" t="s">
        <v>40</v>
      </c>
      <c r="E132" s="1">
        <v>0.5</v>
      </c>
      <c r="F132" t="s">
        <v>18</v>
      </c>
      <c r="G132" t="s">
        <v>18</v>
      </c>
      <c r="H132" t="s">
        <v>27</v>
      </c>
      <c r="I132">
        <v>0</v>
      </c>
      <c r="J132" t="s">
        <v>20</v>
      </c>
      <c r="K132" t="s">
        <v>18</v>
      </c>
      <c r="L132" t="s">
        <v>18</v>
      </c>
      <c r="M132" t="s">
        <v>16</v>
      </c>
      <c r="N132" t="s">
        <v>16</v>
      </c>
      <c r="O132" t="s">
        <v>4</v>
      </c>
      <c r="P13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33" spans="1:16" x14ac:dyDescent="0.3">
      <c r="A133">
        <v>5132</v>
      </c>
      <c r="B133">
        <v>18</v>
      </c>
      <c r="C133" t="s">
        <v>15</v>
      </c>
      <c r="D133" t="s">
        <v>27</v>
      </c>
      <c r="E133" s="1">
        <v>1</v>
      </c>
      <c r="F133" t="s">
        <v>16</v>
      </c>
      <c r="G133" t="s">
        <v>18</v>
      </c>
      <c r="H133" t="s">
        <v>27</v>
      </c>
      <c r="I133">
        <v>0</v>
      </c>
      <c r="J133" t="s">
        <v>22</v>
      </c>
      <c r="K133" t="s">
        <v>16</v>
      </c>
      <c r="L133" t="s">
        <v>18</v>
      </c>
      <c r="M133" t="s">
        <v>18</v>
      </c>
      <c r="N133" t="s">
        <v>18</v>
      </c>
      <c r="O133" t="s">
        <v>7</v>
      </c>
      <c r="P133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34" spans="1:16" x14ac:dyDescent="0.3">
      <c r="A134">
        <v>5133</v>
      </c>
      <c r="B134">
        <v>18</v>
      </c>
      <c r="C134" t="s">
        <v>15</v>
      </c>
      <c r="D134" t="s">
        <v>27</v>
      </c>
      <c r="E134" s="1">
        <v>1</v>
      </c>
      <c r="F134" t="s">
        <v>16</v>
      </c>
      <c r="G134" t="s">
        <v>18</v>
      </c>
      <c r="H134" t="s">
        <v>27</v>
      </c>
      <c r="I134">
        <v>0</v>
      </c>
      <c r="J134" t="s">
        <v>20</v>
      </c>
      <c r="K134" t="s">
        <v>16</v>
      </c>
      <c r="L134" t="s">
        <v>18</v>
      </c>
      <c r="M134" t="s">
        <v>16</v>
      </c>
      <c r="N134" t="s">
        <v>16</v>
      </c>
      <c r="O134" t="s">
        <v>6</v>
      </c>
      <c r="P13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35" spans="1:16" x14ac:dyDescent="0.3">
      <c r="A135">
        <v>5134</v>
      </c>
      <c r="B135">
        <v>18</v>
      </c>
      <c r="C135" t="s">
        <v>15</v>
      </c>
      <c r="D135" t="s">
        <v>40</v>
      </c>
      <c r="E135" s="1">
        <v>1</v>
      </c>
      <c r="F135" t="s">
        <v>16</v>
      </c>
      <c r="G135" t="s">
        <v>16</v>
      </c>
      <c r="H135" t="s">
        <v>26</v>
      </c>
      <c r="I135">
        <v>0</v>
      </c>
      <c r="J135" t="s">
        <v>20</v>
      </c>
      <c r="K135" t="s">
        <v>18</v>
      </c>
      <c r="L135" t="s">
        <v>18</v>
      </c>
      <c r="M135" t="s">
        <v>18</v>
      </c>
      <c r="N135" t="s">
        <v>18</v>
      </c>
      <c r="O135" t="s">
        <v>6</v>
      </c>
      <c r="P13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36" spans="1:16" x14ac:dyDescent="0.3">
      <c r="A136">
        <v>5135</v>
      </c>
      <c r="B136">
        <v>18</v>
      </c>
      <c r="C136" t="s">
        <v>15</v>
      </c>
      <c r="D136" t="s">
        <v>40</v>
      </c>
      <c r="E136" s="1">
        <v>0.75</v>
      </c>
      <c r="F136" t="s">
        <v>16</v>
      </c>
      <c r="G136" t="s">
        <v>18</v>
      </c>
      <c r="H136" t="s">
        <v>27</v>
      </c>
      <c r="I136">
        <v>0</v>
      </c>
      <c r="J136" t="s">
        <v>22</v>
      </c>
      <c r="K136" t="s">
        <v>16</v>
      </c>
      <c r="L136" t="s">
        <v>18</v>
      </c>
      <c r="M136" t="s">
        <v>18</v>
      </c>
      <c r="N136" t="s">
        <v>18</v>
      </c>
      <c r="O136" t="s">
        <v>4</v>
      </c>
      <c r="P13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37" spans="1:16" x14ac:dyDescent="0.3">
      <c r="A137">
        <v>5136</v>
      </c>
      <c r="B137">
        <v>22</v>
      </c>
      <c r="C137" t="s">
        <v>15</v>
      </c>
      <c r="D137" t="s">
        <v>40</v>
      </c>
      <c r="E137" s="1">
        <v>0.5</v>
      </c>
      <c r="F137" t="s">
        <v>18</v>
      </c>
      <c r="G137" t="s">
        <v>18</v>
      </c>
      <c r="H137" t="s">
        <v>27</v>
      </c>
      <c r="I137">
        <v>0</v>
      </c>
      <c r="J137" t="s">
        <v>21</v>
      </c>
      <c r="K137" t="s">
        <v>16</v>
      </c>
      <c r="L137" t="s">
        <v>16</v>
      </c>
      <c r="M137" t="s">
        <v>18</v>
      </c>
      <c r="N137" t="s">
        <v>18</v>
      </c>
      <c r="O137" t="s">
        <v>5</v>
      </c>
      <c r="P137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38" spans="1:16" x14ac:dyDescent="0.3">
      <c r="A138">
        <v>5137</v>
      </c>
      <c r="B138">
        <v>18</v>
      </c>
      <c r="C138" t="s">
        <v>15</v>
      </c>
      <c r="D138" t="s">
        <v>40</v>
      </c>
      <c r="E138" s="1">
        <v>0.5</v>
      </c>
      <c r="F138" t="s">
        <v>18</v>
      </c>
      <c r="G138" t="s">
        <v>18</v>
      </c>
      <c r="H138" t="s">
        <v>26</v>
      </c>
      <c r="I138">
        <v>0</v>
      </c>
      <c r="J138" t="s">
        <v>22</v>
      </c>
      <c r="K138" t="s">
        <v>16</v>
      </c>
      <c r="L138" t="s">
        <v>16</v>
      </c>
      <c r="M138" t="s">
        <v>18</v>
      </c>
      <c r="N138" t="s">
        <v>16</v>
      </c>
      <c r="O138" t="s">
        <v>11</v>
      </c>
      <c r="P138">
        <f>IF(OR(Table2[[#This Row],[Grade]]="AA",Table2[[#This Row],[Grade]]="BA", Table2[[#This Row],[Grade]]="BB",Table2[[#This Row],[Grade]]="CB",Table2[[#This Row],[Grade]]="CC",Table2[[#This Row],[Grade]]="DC",Table2[[#This Row],[Grade]]="DD"),1,0)</f>
        <v>0</v>
      </c>
    </row>
    <row r="139" spans="1:16" x14ac:dyDescent="0.3">
      <c r="A139">
        <v>5138</v>
      </c>
      <c r="B139">
        <v>18</v>
      </c>
      <c r="C139" t="s">
        <v>15</v>
      </c>
      <c r="D139" t="s">
        <v>27</v>
      </c>
      <c r="E139" s="1">
        <v>1</v>
      </c>
      <c r="F139" t="s">
        <v>16</v>
      </c>
      <c r="G139" t="s">
        <v>18</v>
      </c>
      <c r="H139" t="s">
        <v>27</v>
      </c>
      <c r="I139">
        <v>0</v>
      </c>
      <c r="J139" t="s">
        <v>20</v>
      </c>
      <c r="K139" t="s">
        <v>18</v>
      </c>
      <c r="L139" t="s">
        <v>16</v>
      </c>
      <c r="M139" t="s">
        <v>16</v>
      </c>
      <c r="N139" t="s">
        <v>18</v>
      </c>
      <c r="O139" t="s">
        <v>5</v>
      </c>
      <c r="P139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40" spans="1:16" x14ac:dyDescent="0.3">
      <c r="A140">
        <v>5139</v>
      </c>
      <c r="B140">
        <v>18</v>
      </c>
      <c r="C140" t="s">
        <v>15</v>
      </c>
      <c r="D140" t="s">
        <v>40</v>
      </c>
      <c r="E140" s="1">
        <v>0.75</v>
      </c>
      <c r="F140" t="s">
        <v>18</v>
      </c>
      <c r="G140" t="s">
        <v>18</v>
      </c>
      <c r="H140" t="s">
        <v>26</v>
      </c>
      <c r="I140">
        <v>12</v>
      </c>
      <c r="J140" t="s">
        <v>22</v>
      </c>
      <c r="K140" t="s">
        <v>16</v>
      </c>
      <c r="L140" t="s">
        <v>16</v>
      </c>
      <c r="M140" t="s">
        <v>18</v>
      </c>
      <c r="N140" t="s">
        <v>18</v>
      </c>
      <c r="O140" t="s">
        <v>11</v>
      </c>
      <c r="P140">
        <f>IF(OR(Table2[[#This Row],[Grade]]="AA",Table2[[#This Row],[Grade]]="BA", Table2[[#This Row],[Grade]]="BB",Table2[[#This Row],[Grade]]="CB",Table2[[#This Row],[Grade]]="CC",Table2[[#This Row],[Grade]]="DC",Table2[[#This Row],[Grade]]="DD"),1,0)</f>
        <v>0</v>
      </c>
    </row>
    <row r="141" spans="1:16" x14ac:dyDescent="0.3">
      <c r="A141">
        <v>5140</v>
      </c>
      <c r="B141">
        <v>18</v>
      </c>
      <c r="C141" t="s">
        <v>15</v>
      </c>
      <c r="D141" t="s">
        <v>40</v>
      </c>
      <c r="E141" s="1">
        <v>0.75</v>
      </c>
      <c r="F141" t="s">
        <v>18</v>
      </c>
      <c r="G141" t="s">
        <v>16</v>
      </c>
      <c r="H141" t="s">
        <v>26</v>
      </c>
      <c r="I141">
        <v>2</v>
      </c>
      <c r="J141" t="s">
        <v>22</v>
      </c>
      <c r="K141" t="s">
        <v>16</v>
      </c>
      <c r="L141" t="s">
        <v>16</v>
      </c>
      <c r="M141" t="s">
        <v>18</v>
      </c>
      <c r="N141" t="s">
        <v>18</v>
      </c>
      <c r="O141" t="s">
        <v>11</v>
      </c>
      <c r="P141">
        <f>IF(OR(Table2[[#This Row],[Grade]]="AA",Table2[[#This Row],[Grade]]="BA", Table2[[#This Row],[Grade]]="BB",Table2[[#This Row],[Grade]]="CB",Table2[[#This Row],[Grade]]="CC",Table2[[#This Row],[Grade]]="DC",Table2[[#This Row],[Grade]]="DD"),1,0)</f>
        <v>0</v>
      </c>
    </row>
    <row r="142" spans="1:16" x14ac:dyDescent="0.3">
      <c r="A142">
        <v>5141</v>
      </c>
      <c r="B142">
        <v>22</v>
      </c>
      <c r="C142" t="s">
        <v>15</v>
      </c>
      <c r="D142" t="s">
        <v>40</v>
      </c>
      <c r="E142" s="1">
        <v>0.5</v>
      </c>
      <c r="F142" t="s">
        <v>18</v>
      </c>
      <c r="G142" t="s">
        <v>18</v>
      </c>
      <c r="H142" t="s">
        <v>27</v>
      </c>
      <c r="I142">
        <v>0</v>
      </c>
      <c r="J142" t="s">
        <v>20</v>
      </c>
      <c r="K142" t="s">
        <v>16</v>
      </c>
      <c r="L142" t="s">
        <v>18</v>
      </c>
      <c r="M142" t="s">
        <v>16</v>
      </c>
      <c r="N142" t="s">
        <v>18</v>
      </c>
      <c r="O142" t="s">
        <v>8</v>
      </c>
      <c r="P142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43" spans="1:16" x14ac:dyDescent="0.3">
      <c r="A143">
        <v>5142</v>
      </c>
      <c r="B143">
        <v>18</v>
      </c>
      <c r="C143" t="s">
        <v>15</v>
      </c>
      <c r="D143" t="s">
        <v>40</v>
      </c>
      <c r="E143" s="1">
        <v>0.75</v>
      </c>
      <c r="F143" t="s">
        <v>16</v>
      </c>
      <c r="G143" t="s">
        <v>16</v>
      </c>
      <c r="H143" t="s">
        <v>27</v>
      </c>
      <c r="I143">
        <v>0</v>
      </c>
      <c r="J143" t="s">
        <v>21</v>
      </c>
      <c r="K143" t="s">
        <v>16</v>
      </c>
      <c r="L143" t="s">
        <v>18</v>
      </c>
      <c r="M143" t="s">
        <v>18</v>
      </c>
      <c r="N143" t="s">
        <v>16</v>
      </c>
      <c r="O143" t="s">
        <v>8</v>
      </c>
      <c r="P143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44" spans="1:16" x14ac:dyDescent="0.3">
      <c r="A144">
        <v>5143</v>
      </c>
      <c r="B144">
        <v>18</v>
      </c>
      <c r="C144" t="s">
        <v>15</v>
      </c>
      <c r="D144" t="s">
        <v>27</v>
      </c>
      <c r="E144" s="1">
        <v>0.75</v>
      </c>
      <c r="F144" t="s">
        <v>16</v>
      </c>
      <c r="G144" t="s">
        <v>16</v>
      </c>
      <c r="H144" t="s">
        <v>27</v>
      </c>
      <c r="I144">
        <v>0</v>
      </c>
      <c r="J144" t="s">
        <v>20</v>
      </c>
      <c r="K144" t="s">
        <v>18</v>
      </c>
      <c r="L144" t="s">
        <v>16</v>
      </c>
      <c r="M144" t="s">
        <v>16</v>
      </c>
      <c r="N144" t="s">
        <v>16</v>
      </c>
      <c r="O144" t="s">
        <v>4</v>
      </c>
      <c r="P144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45" spans="1:16" x14ac:dyDescent="0.3">
      <c r="A145">
        <v>5144</v>
      </c>
      <c r="B145">
        <v>22</v>
      </c>
      <c r="C145" t="s">
        <v>15</v>
      </c>
      <c r="D145" t="s">
        <v>40</v>
      </c>
      <c r="E145" s="1">
        <v>0.75</v>
      </c>
      <c r="F145" t="s">
        <v>18</v>
      </c>
      <c r="G145" t="s">
        <v>18</v>
      </c>
      <c r="H145" t="s">
        <v>26</v>
      </c>
      <c r="I145">
        <v>12</v>
      </c>
      <c r="J145" t="s">
        <v>22</v>
      </c>
      <c r="K145" t="s">
        <v>16</v>
      </c>
      <c r="L145" t="s">
        <v>18</v>
      </c>
      <c r="M145" t="s">
        <v>16</v>
      </c>
      <c r="N145" t="s">
        <v>18</v>
      </c>
      <c r="O145" t="s">
        <v>7</v>
      </c>
      <c r="P145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  <row r="146" spans="1:16" x14ac:dyDescent="0.3">
      <c r="A146">
        <v>5145</v>
      </c>
      <c r="B146">
        <v>18</v>
      </c>
      <c r="C146" t="s">
        <v>15</v>
      </c>
      <c r="D146" t="s">
        <v>27</v>
      </c>
      <c r="E146" s="1">
        <v>1</v>
      </c>
      <c r="F146" t="s">
        <v>16</v>
      </c>
      <c r="G146" t="s">
        <v>16</v>
      </c>
      <c r="H146" t="s">
        <v>27</v>
      </c>
      <c r="I146">
        <v>12</v>
      </c>
      <c r="J146" t="s">
        <v>20</v>
      </c>
      <c r="K146" t="s">
        <v>18</v>
      </c>
      <c r="L146" t="s">
        <v>16</v>
      </c>
      <c r="M146" t="s">
        <v>18</v>
      </c>
      <c r="N146" t="s">
        <v>16</v>
      </c>
      <c r="O146" t="s">
        <v>6</v>
      </c>
      <c r="P146">
        <f>IF(OR(Table2[[#This Row],[Grade]]="AA",Table2[[#This Row],[Grade]]="BA", Table2[[#This Row],[Grade]]="BB",Table2[[#This Row],[Grade]]="CB",Table2[[#This Row],[Grade]]="CC",Table2[[#This Row],[Grade]]="DC",Table2[[#This Row],[Grade]]="DD"),1,0)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F304-4C27-4085-9573-3777ACD0B990}">
  <dimension ref="A3:V29"/>
  <sheetViews>
    <sheetView tabSelected="1" workbookViewId="0">
      <selection activeCell="S25" sqref="S25"/>
    </sheetView>
  </sheetViews>
  <sheetFormatPr defaultRowHeight="14.4" x14ac:dyDescent="0.3"/>
  <cols>
    <col min="1" max="1" width="13.88671875" bestFit="1" customWidth="1"/>
    <col min="2" max="2" width="9" bestFit="1" customWidth="1"/>
    <col min="3" max="3" width="7" bestFit="1" customWidth="1"/>
    <col min="4" max="4" width="10.77734375" bestFit="1" customWidth="1"/>
    <col min="5" max="5" width="6" bestFit="1" customWidth="1"/>
    <col min="6" max="6" width="7" bestFit="1" customWidth="1"/>
    <col min="7" max="7" width="6" bestFit="1" customWidth="1"/>
    <col min="8" max="8" width="7" bestFit="1" customWidth="1"/>
    <col min="9" max="10" width="10.77734375" bestFit="1" customWidth="1"/>
    <col min="14" max="14" width="17" bestFit="1" customWidth="1"/>
    <col min="15" max="15" width="15.5546875" bestFit="1" customWidth="1"/>
    <col min="16" max="16" width="7" bestFit="1" customWidth="1"/>
    <col min="17" max="17" width="10.77734375" bestFit="1" customWidth="1"/>
    <col min="19" max="19" width="16.109375" bestFit="1" customWidth="1"/>
    <col min="20" max="20" width="15.5546875" bestFit="1" customWidth="1"/>
    <col min="21" max="21" width="7" bestFit="1" customWidth="1"/>
    <col min="22" max="22" width="10.77734375" bestFit="1" customWidth="1"/>
  </cols>
  <sheetData>
    <row r="3" spans="1:22" x14ac:dyDescent="0.3">
      <c r="A3" s="2" t="s">
        <v>0</v>
      </c>
      <c r="B3" s="2" t="s">
        <v>42</v>
      </c>
      <c r="C3" s="3"/>
      <c r="D3" s="3"/>
      <c r="E3" s="3"/>
      <c r="F3" s="3"/>
      <c r="G3" s="3"/>
      <c r="H3" s="3"/>
      <c r="I3" s="3"/>
      <c r="N3" s="2" t="s">
        <v>2</v>
      </c>
      <c r="O3" s="2" t="s">
        <v>1</v>
      </c>
      <c r="P3" s="3"/>
      <c r="Q3" s="3"/>
      <c r="S3" s="2" t="s">
        <v>2</v>
      </c>
      <c r="T3" s="2" t="s">
        <v>1</v>
      </c>
      <c r="U3" s="3"/>
      <c r="V3" s="3"/>
    </row>
    <row r="4" spans="1:22" x14ac:dyDescent="0.3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11</v>
      </c>
      <c r="I4" s="3" t="s">
        <v>12</v>
      </c>
      <c r="N4" s="2" t="s">
        <v>44</v>
      </c>
      <c r="O4" s="3" t="s">
        <v>11</v>
      </c>
      <c r="P4" s="3" t="s">
        <v>14</v>
      </c>
      <c r="Q4" s="3" t="s">
        <v>12</v>
      </c>
      <c r="S4" s="2" t="s">
        <v>23</v>
      </c>
      <c r="T4" s="3" t="s">
        <v>11</v>
      </c>
      <c r="U4" s="3" t="s">
        <v>14</v>
      </c>
      <c r="V4" s="3" t="s">
        <v>12</v>
      </c>
    </row>
    <row r="5" spans="1:22" x14ac:dyDescent="0.3">
      <c r="A5" s="4" t="s">
        <v>15</v>
      </c>
      <c r="B5" s="5">
        <v>0.27586206896551724</v>
      </c>
      <c r="C5" s="5">
        <v>0.20689655172413793</v>
      </c>
      <c r="D5" s="5">
        <v>0.1206896551724138</v>
      </c>
      <c r="E5" s="5">
        <v>8.6206896551724144E-2</v>
      </c>
      <c r="F5" s="5">
        <v>0.10344827586206896</v>
      </c>
      <c r="G5" s="5">
        <v>6.8965517241379309E-2</v>
      </c>
      <c r="H5" s="5">
        <v>0.13793103448275862</v>
      </c>
      <c r="I5" s="5">
        <v>1</v>
      </c>
      <c r="N5" s="4" t="s">
        <v>16</v>
      </c>
      <c r="O5" s="5">
        <v>2.0689655172413793E-2</v>
      </c>
      <c r="P5" s="5">
        <v>0.64137931034482754</v>
      </c>
      <c r="Q5" s="5">
        <v>0.66206896551724137</v>
      </c>
      <c r="S5" s="4" t="s">
        <v>16</v>
      </c>
      <c r="T5" s="5">
        <v>3.4482758620689655E-2</v>
      </c>
      <c r="U5" s="5">
        <v>0.42758620689655175</v>
      </c>
      <c r="V5" s="5">
        <v>0.46206896551724136</v>
      </c>
    </row>
    <row r="6" spans="1:22" x14ac:dyDescent="0.3">
      <c r="A6" s="4" t="s">
        <v>12</v>
      </c>
      <c r="B6" s="5">
        <v>0.27586206896551724</v>
      </c>
      <c r="C6" s="5">
        <v>0.20689655172413793</v>
      </c>
      <c r="D6" s="5">
        <v>0.1206896551724138</v>
      </c>
      <c r="E6" s="5">
        <v>8.6206896551724144E-2</v>
      </c>
      <c r="F6" s="5">
        <v>0.10344827586206896</v>
      </c>
      <c r="G6" s="5">
        <v>6.8965517241379309E-2</v>
      </c>
      <c r="H6" s="5">
        <v>0.13793103448275862</v>
      </c>
      <c r="I6" s="5">
        <v>1</v>
      </c>
      <c r="N6" s="4" t="s">
        <v>18</v>
      </c>
      <c r="O6" s="5">
        <v>3.4482758620689655E-2</v>
      </c>
      <c r="P6" s="5">
        <v>0.30344827586206896</v>
      </c>
      <c r="Q6" s="5">
        <v>0.33793103448275863</v>
      </c>
      <c r="S6" s="4" t="s">
        <v>18</v>
      </c>
      <c r="T6" s="5">
        <v>2.0689655172413793E-2</v>
      </c>
      <c r="U6" s="5">
        <v>0.51724137931034486</v>
      </c>
      <c r="V6" s="5">
        <v>0.53793103448275859</v>
      </c>
    </row>
    <row r="7" spans="1:22" x14ac:dyDescent="0.3">
      <c r="N7" s="4" t="s">
        <v>12</v>
      </c>
      <c r="O7" s="5">
        <v>5.5172413793103448E-2</v>
      </c>
      <c r="P7" s="5">
        <v>0.94482758620689655</v>
      </c>
      <c r="Q7" s="5">
        <v>1</v>
      </c>
      <c r="S7" s="4" t="s">
        <v>12</v>
      </c>
      <c r="T7" s="5">
        <v>5.5172413793103448E-2</v>
      </c>
      <c r="U7" s="5">
        <v>0.94482758620689655</v>
      </c>
      <c r="V7" s="5">
        <v>1</v>
      </c>
    </row>
    <row r="10" spans="1:22" x14ac:dyDescent="0.3">
      <c r="A10" s="2" t="s">
        <v>43</v>
      </c>
      <c r="B10" s="2" t="s">
        <v>41</v>
      </c>
      <c r="C10" s="3"/>
      <c r="D10" s="3"/>
      <c r="G10" s="7" t="s">
        <v>48</v>
      </c>
      <c r="H10" s="8"/>
      <c r="I10" s="8"/>
      <c r="J10" s="8"/>
      <c r="K10" s="8"/>
      <c r="L10" s="9"/>
      <c r="N10" s="2" t="s">
        <v>2</v>
      </c>
      <c r="O10" s="2" t="s">
        <v>1</v>
      </c>
      <c r="P10" s="3"/>
      <c r="Q10" s="3"/>
      <c r="S10" s="2" t="s">
        <v>2</v>
      </c>
      <c r="T10" s="2" t="s">
        <v>1</v>
      </c>
      <c r="U10" s="3"/>
      <c r="V10" s="3"/>
    </row>
    <row r="11" spans="1:22" x14ac:dyDescent="0.3">
      <c r="A11" s="2" t="s">
        <v>13</v>
      </c>
      <c r="B11" s="3" t="s">
        <v>11</v>
      </c>
      <c r="C11" s="3" t="s">
        <v>14</v>
      </c>
      <c r="D11" s="3" t="s">
        <v>12</v>
      </c>
      <c r="G11" s="10" t="s">
        <v>49</v>
      </c>
      <c r="H11" s="11"/>
      <c r="I11" s="11"/>
      <c r="J11" s="11"/>
      <c r="K11" s="11"/>
      <c r="L11" s="12"/>
      <c r="N11" s="2" t="s">
        <v>45</v>
      </c>
      <c r="O11" s="3" t="s">
        <v>11</v>
      </c>
      <c r="P11" s="3" t="s">
        <v>14</v>
      </c>
      <c r="Q11" s="3" t="s">
        <v>12</v>
      </c>
      <c r="S11" s="2" t="s">
        <v>47</v>
      </c>
      <c r="T11" s="3" t="s">
        <v>11</v>
      </c>
      <c r="U11" s="3" t="s">
        <v>14</v>
      </c>
      <c r="V11" s="3" t="s">
        <v>12</v>
      </c>
    </row>
    <row r="12" spans="1:22" x14ac:dyDescent="0.3">
      <c r="A12" s="4">
        <v>18</v>
      </c>
      <c r="B12" s="6">
        <v>6</v>
      </c>
      <c r="C12" s="6">
        <v>59</v>
      </c>
      <c r="D12" s="6">
        <v>65</v>
      </c>
      <c r="G12" s="10"/>
      <c r="H12" s="11"/>
      <c r="I12" s="11"/>
      <c r="J12" s="11"/>
      <c r="K12" s="11"/>
      <c r="L12" s="12"/>
      <c r="N12" s="4" t="s">
        <v>16</v>
      </c>
      <c r="O12" s="5">
        <v>2.0689655172413793E-2</v>
      </c>
      <c r="P12" s="5">
        <v>0.57931034482758625</v>
      </c>
      <c r="Q12" s="5">
        <v>0.6</v>
      </c>
      <c r="S12" s="4">
        <v>0</v>
      </c>
      <c r="T12" s="5">
        <v>2.7586206896551724E-2</v>
      </c>
      <c r="U12" s="5">
        <v>0.61379310344827587</v>
      </c>
      <c r="V12" s="5">
        <v>0.64137931034482754</v>
      </c>
    </row>
    <row r="13" spans="1:22" x14ac:dyDescent="0.3">
      <c r="A13" s="4">
        <v>19</v>
      </c>
      <c r="B13" s="6"/>
      <c r="C13" s="6">
        <v>17</v>
      </c>
      <c r="D13" s="6">
        <v>17</v>
      </c>
      <c r="G13" s="10"/>
      <c r="H13" s="11"/>
      <c r="I13" s="11"/>
      <c r="J13" s="11"/>
      <c r="K13" s="11"/>
      <c r="L13" s="12"/>
      <c r="N13" s="4" t="s">
        <v>18</v>
      </c>
      <c r="O13" s="5">
        <v>3.4482758620689655E-2</v>
      </c>
      <c r="P13" s="5">
        <v>0.36551724137931035</v>
      </c>
      <c r="Q13" s="5">
        <v>0.4</v>
      </c>
      <c r="S13" s="4">
        <v>2</v>
      </c>
      <c r="T13" s="5">
        <v>6.8965517241379309E-3</v>
      </c>
      <c r="U13" s="5">
        <v>0.1793103448275862</v>
      </c>
      <c r="V13" s="5">
        <v>0.18620689655172415</v>
      </c>
    </row>
    <row r="14" spans="1:22" x14ac:dyDescent="0.3">
      <c r="A14" s="4">
        <v>20</v>
      </c>
      <c r="B14" s="6"/>
      <c r="C14" s="6">
        <v>15</v>
      </c>
      <c r="D14" s="6">
        <v>15</v>
      </c>
      <c r="G14" s="10"/>
      <c r="H14" s="11"/>
      <c r="I14" s="11"/>
      <c r="J14" s="11"/>
      <c r="K14" s="11"/>
      <c r="L14" s="12"/>
      <c r="N14" s="4" t="s">
        <v>12</v>
      </c>
      <c r="O14" s="5">
        <v>5.5172413793103448E-2</v>
      </c>
      <c r="P14" s="5">
        <v>0.94482758620689655</v>
      </c>
      <c r="Q14" s="5">
        <v>1</v>
      </c>
      <c r="S14" s="4">
        <v>8</v>
      </c>
      <c r="T14" s="5">
        <v>6.8965517241379309E-3</v>
      </c>
      <c r="U14" s="5">
        <v>2.0689655172413793E-2</v>
      </c>
      <c r="V14" s="5">
        <v>2.7586206896551724E-2</v>
      </c>
    </row>
    <row r="15" spans="1:22" x14ac:dyDescent="0.3">
      <c r="A15" s="4">
        <v>21</v>
      </c>
      <c r="B15" s="6">
        <v>2</v>
      </c>
      <c r="C15" s="6">
        <v>19</v>
      </c>
      <c r="D15" s="6">
        <v>21</v>
      </c>
      <c r="G15" s="10"/>
      <c r="H15" s="11"/>
      <c r="I15" s="11"/>
      <c r="J15" s="11"/>
      <c r="K15" s="11"/>
      <c r="L15" s="12"/>
      <c r="S15" s="4">
        <v>12</v>
      </c>
      <c r="T15" s="5">
        <v>1.3793103448275862E-2</v>
      </c>
      <c r="U15" s="5">
        <v>0.1310344827586207</v>
      </c>
      <c r="V15" s="5">
        <v>0.14482758620689656</v>
      </c>
    </row>
    <row r="16" spans="1:22" x14ac:dyDescent="0.3">
      <c r="A16" s="4">
        <v>22</v>
      </c>
      <c r="B16" s="6"/>
      <c r="C16" s="6">
        <v>17</v>
      </c>
      <c r="D16" s="6">
        <v>17</v>
      </c>
      <c r="G16" s="10"/>
      <c r="H16" s="11"/>
      <c r="I16" s="11"/>
      <c r="J16" s="11"/>
      <c r="K16" s="11"/>
      <c r="L16" s="12"/>
      <c r="S16" s="4" t="s">
        <v>12</v>
      </c>
      <c r="T16" s="5">
        <v>5.5172413793103448E-2</v>
      </c>
      <c r="U16" s="5">
        <v>0.94482758620689655</v>
      </c>
      <c r="V16" s="5">
        <v>1</v>
      </c>
    </row>
    <row r="17" spans="1:22" x14ac:dyDescent="0.3">
      <c r="A17" s="4">
        <v>23</v>
      </c>
      <c r="B17" s="6"/>
      <c r="C17" s="6">
        <v>1</v>
      </c>
      <c r="D17" s="6">
        <v>1</v>
      </c>
      <c r="G17" s="10"/>
      <c r="H17" s="11"/>
      <c r="I17" s="11"/>
      <c r="J17" s="11"/>
      <c r="K17" s="11"/>
      <c r="L17" s="12"/>
      <c r="N17" s="2" t="s">
        <v>2</v>
      </c>
      <c r="O17" s="2" t="s">
        <v>1</v>
      </c>
      <c r="P17" s="3"/>
      <c r="Q17" s="3"/>
    </row>
    <row r="18" spans="1:22" x14ac:dyDescent="0.3">
      <c r="A18" s="4">
        <v>24</v>
      </c>
      <c r="B18" s="6"/>
      <c r="C18" s="6">
        <v>4</v>
      </c>
      <c r="D18" s="6">
        <v>4</v>
      </c>
      <c r="G18" s="10"/>
      <c r="H18" s="11"/>
      <c r="I18" s="11"/>
      <c r="J18" s="11"/>
      <c r="K18" s="11"/>
      <c r="L18" s="12"/>
      <c r="N18" s="2" t="s">
        <v>19</v>
      </c>
      <c r="O18" s="3" t="s">
        <v>11</v>
      </c>
      <c r="P18" s="3" t="s">
        <v>14</v>
      </c>
      <c r="Q18" s="3" t="s">
        <v>12</v>
      </c>
    </row>
    <row r="19" spans="1:22" x14ac:dyDescent="0.3">
      <c r="A19" s="4">
        <v>25</v>
      </c>
      <c r="B19" s="6"/>
      <c r="C19" s="6">
        <v>3</v>
      </c>
      <c r="D19" s="6">
        <v>3</v>
      </c>
      <c r="G19" s="10"/>
      <c r="H19" s="11"/>
      <c r="I19" s="11"/>
      <c r="J19" s="11"/>
      <c r="K19" s="11"/>
      <c r="L19" s="12"/>
      <c r="N19" s="4" t="s">
        <v>20</v>
      </c>
      <c r="O19" s="5">
        <v>6.8965517241379309E-3</v>
      </c>
      <c r="P19" s="5">
        <v>0.67586206896551726</v>
      </c>
      <c r="Q19" s="5">
        <v>0.6827586206896552</v>
      </c>
      <c r="S19" s="2" t="s">
        <v>2</v>
      </c>
      <c r="T19" s="2" t="s">
        <v>1</v>
      </c>
      <c r="U19" s="3"/>
      <c r="V19" s="3"/>
    </row>
    <row r="20" spans="1:22" x14ac:dyDescent="0.3">
      <c r="A20" s="4">
        <v>26</v>
      </c>
      <c r="B20" s="6"/>
      <c r="C20" s="6">
        <v>2</v>
      </c>
      <c r="D20" s="6">
        <v>2</v>
      </c>
      <c r="G20" s="10"/>
      <c r="H20" s="11"/>
      <c r="I20" s="11"/>
      <c r="J20" s="11"/>
      <c r="K20" s="11"/>
      <c r="L20" s="12"/>
      <c r="N20" s="4" t="s">
        <v>21</v>
      </c>
      <c r="O20" s="5">
        <v>1.3793103448275862E-2</v>
      </c>
      <c r="P20" s="5">
        <v>0.1310344827586207</v>
      </c>
      <c r="Q20" s="5">
        <v>0.14482758620689656</v>
      </c>
      <c r="S20" s="2" t="s">
        <v>24</v>
      </c>
      <c r="T20" s="3" t="s">
        <v>11</v>
      </c>
      <c r="U20" s="3" t="s">
        <v>14</v>
      </c>
      <c r="V20" s="3" t="s">
        <v>12</v>
      </c>
    </row>
    <row r="21" spans="1:22" x14ac:dyDescent="0.3">
      <c r="A21" s="4" t="s">
        <v>12</v>
      </c>
      <c r="B21" s="6">
        <v>8</v>
      </c>
      <c r="C21" s="6">
        <v>137</v>
      </c>
      <c r="D21" s="6">
        <v>145</v>
      </c>
      <c r="G21" s="13"/>
      <c r="H21" s="14"/>
      <c r="I21" s="14"/>
      <c r="J21" s="14"/>
      <c r="K21" s="14"/>
      <c r="L21" s="15"/>
      <c r="N21" s="4" t="s">
        <v>22</v>
      </c>
      <c r="O21" s="5">
        <v>3.4482758620689655E-2</v>
      </c>
      <c r="P21" s="5">
        <v>0.13793103448275862</v>
      </c>
      <c r="Q21" s="5">
        <v>0.17241379310344829</v>
      </c>
      <c r="S21" s="4" t="s">
        <v>16</v>
      </c>
      <c r="T21" s="5">
        <v>4.1379310344827586E-2</v>
      </c>
      <c r="U21" s="5">
        <v>0.48275862068965519</v>
      </c>
      <c r="V21" s="5">
        <v>0.52413793103448281</v>
      </c>
    </row>
    <row r="22" spans="1:22" x14ac:dyDescent="0.3">
      <c r="N22" s="4" t="s">
        <v>12</v>
      </c>
      <c r="O22" s="5">
        <v>5.5172413793103448E-2</v>
      </c>
      <c r="P22" s="5">
        <v>0.94482758620689655</v>
      </c>
      <c r="Q22" s="5">
        <v>1</v>
      </c>
      <c r="S22" s="4" t="s">
        <v>18</v>
      </c>
      <c r="T22" s="5">
        <v>1.3793103448275862E-2</v>
      </c>
      <c r="U22" s="5">
        <v>0.46206896551724136</v>
      </c>
      <c r="V22" s="5">
        <v>0.47586206896551725</v>
      </c>
    </row>
    <row r="23" spans="1:22" x14ac:dyDescent="0.3">
      <c r="S23" s="4" t="s">
        <v>12</v>
      </c>
      <c r="T23" s="5">
        <v>5.5172413793103448E-2</v>
      </c>
      <c r="U23" s="5">
        <v>0.94482758620689655</v>
      </c>
      <c r="V23" s="5">
        <v>1</v>
      </c>
    </row>
    <row r="25" spans="1:22" x14ac:dyDescent="0.3">
      <c r="N25" s="2" t="s">
        <v>2</v>
      </c>
      <c r="O25" s="2" t="s">
        <v>1</v>
      </c>
      <c r="P25" s="3"/>
      <c r="Q25" s="3"/>
      <c r="S25" s="2" t="s">
        <v>2</v>
      </c>
      <c r="T25" s="2" t="s">
        <v>1</v>
      </c>
      <c r="U25" s="3"/>
      <c r="V25" s="3"/>
    </row>
    <row r="26" spans="1:22" x14ac:dyDescent="0.3">
      <c r="N26" s="2" t="s">
        <v>46</v>
      </c>
      <c r="O26" s="3" t="s">
        <v>11</v>
      </c>
      <c r="P26" s="3" t="s">
        <v>14</v>
      </c>
      <c r="Q26" s="3" t="s">
        <v>12</v>
      </c>
      <c r="S26" s="2" t="s">
        <v>25</v>
      </c>
      <c r="T26" s="3" t="s">
        <v>11</v>
      </c>
      <c r="U26" s="3" t="s">
        <v>14</v>
      </c>
      <c r="V26" s="3" t="s">
        <v>12</v>
      </c>
    </row>
    <row r="27" spans="1:22" x14ac:dyDescent="0.3">
      <c r="N27" s="4" t="s">
        <v>16</v>
      </c>
      <c r="O27" s="5">
        <v>2.7586206896551724E-2</v>
      </c>
      <c r="P27" s="5">
        <v>0.44827586206896552</v>
      </c>
      <c r="Q27" s="5">
        <v>0.47586206896551725</v>
      </c>
      <c r="S27" s="4" t="s">
        <v>26</v>
      </c>
      <c r="T27" s="5">
        <v>4.1379310344827586E-2</v>
      </c>
      <c r="U27" s="5">
        <v>0.37931034482758619</v>
      </c>
      <c r="V27" s="5">
        <v>0.4206896551724138</v>
      </c>
    </row>
    <row r="28" spans="1:22" x14ac:dyDescent="0.3">
      <c r="N28" s="4" t="s">
        <v>18</v>
      </c>
      <c r="O28" s="5">
        <v>2.7586206896551724E-2</v>
      </c>
      <c r="P28" s="5">
        <v>0.49655172413793103</v>
      </c>
      <c r="Q28" s="5">
        <v>0.52413793103448281</v>
      </c>
      <c r="S28" s="4" t="s">
        <v>27</v>
      </c>
      <c r="T28" s="5">
        <v>1.3793103448275862E-2</v>
      </c>
      <c r="U28" s="5">
        <v>0.56551724137931036</v>
      </c>
      <c r="V28" s="5">
        <v>0.57931034482758625</v>
      </c>
    </row>
    <row r="29" spans="1:22" x14ac:dyDescent="0.3">
      <c r="N29" s="4" t="s">
        <v>12</v>
      </c>
      <c r="O29" s="5">
        <v>5.5172413793103448E-2</v>
      </c>
      <c r="P29" s="5">
        <v>0.94482758620689655</v>
      </c>
      <c r="Q29" s="5">
        <v>1</v>
      </c>
      <c r="S29" s="4" t="s">
        <v>12</v>
      </c>
      <c r="T29" s="5">
        <v>5.5172413793103448E-2</v>
      </c>
      <c r="U29" s="5">
        <v>0.94482758620689655</v>
      </c>
      <c r="V29" s="5">
        <v>1</v>
      </c>
    </row>
  </sheetData>
  <mergeCells count="2">
    <mergeCell ref="G11:L21"/>
    <mergeCell ref="G10:L10"/>
  </mergeCell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Student</vt:lpstr>
      <vt:lpstr>Student_Analysis</vt:lpstr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r</dc:creator>
  <cp:lastModifiedBy>s r</cp:lastModifiedBy>
  <dcterms:created xsi:type="dcterms:W3CDTF">2025-11-09T17:05:32Z</dcterms:created>
  <dcterms:modified xsi:type="dcterms:W3CDTF">2025-11-09T18:19:04Z</dcterms:modified>
</cp:coreProperties>
</file>